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 MAINTENANCE\Faris BKRD-00312 (MTC ADMIN-2025\"/>
    </mc:Choice>
  </mc:AlternateContent>
  <xr:revisionPtr revIDLastSave="0" documentId="13_ncr:1_{4FDED803-947A-4585-A151-70E55886B207}" xr6:coauthVersionLast="47" xr6:coauthVersionMax="47" xr10:uidLastSave="{00000000-0000-0000-0000-000000000000}"/>
  <bookViews>
    <workbookView xWindow="-120" yWindow="-120" windowWidth="29040" windowHeight="15840" xr2:uid="{81EA9598-8E79-4C81-A930-B9731748B02D}"/>
  </bookViews>
  <sheets>
    <sheet name="New History.." sheetId="1" r:id="rId1"/>
    <sheet name="Sheet1" sheetId="3" r:id="rId2"/>
    <sheet name="LIST TO ORDER" sheetId="2" r:id="rId3"/>
  </sheets>
  <definedNames>
    <definedName name="_xlnm._FilterDatabase" localSheetId="2" hidden="1">'LIST TO ORDER'!$A$4:$J$111</definedName>
    <definedName name="_xlnm._FilterDatabase" localSheetId="0" hidden="1">'New History..'!$A$7:$J$427</definedName>
    <definedName name="_xlnm.Print_Area" localSheetId="2">'LIST TO ORDER'!$A$4:$I$4,'LIST TO ORDER'!$A$99:$I$133</definedName>
    <definedName name="_xlnm.Print_Area" localSheetId="0">'New History..'!$A:$J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8" i="1" l="1"/>
  <c r="B189" i="1" s="1"/>
  <c r="A188" i="1"/>
  <c r="A189" i="1" s="1"/>
  <c r="C120" i="2"/>
  <c r="C121" i="2" s="1"/>
  <c r="C122" i="2" s="1"/>
  <c r="C123" i="2" s="1"/>
  <c r="B120" i="2"/>
  <c r="B121" i="2" s="1"/>
  <c r="B122" i="2" s="1"/>
  <c r="A120" i="2"/>
  <c r="A121" i="2" s="1"/>
  <c r="A122" i="2" s="1"/>
  <c r="A123" i="2" s="1"/>
  <c r="C117" i="2"/>
  <c r="C118" i="2" s="1"/>
  <c r="B117" i="2"/>
  <c r="B118" i="2" s="1"/>
  <c r="A117" i="2"/>
  <c r="A118" i="2" s="1"/>
  <c r="C113" i="2"/>
  <c r="C114" i="2" s="1"/>
  <c r="C115" i="2" s="1"/>
  <c r="B113" i="2"/>
  <c r="B114" i="2" s="1"/>
  <c r="B115" i="2" s="1"/>
  <c r="A113" i="2"/>
  <c r="A114" i="2" s="1"/>
  <c r="A115" i="2" s="1"/>
  <c r="C111" i="2"/>
  <c r="B111" i="2"/>
  <c r="A111" i="2"/>
  <c r="C108" i="2"/>
  <c r="C110" i="2" s="1"/>
  <c r="B108" i="2"/>
  <c r="B110" i="2" s="1"/>
  <c r="A108" i="2"/>
  <c r="A110" i="2" s="1"/>
  <c r="C104" i="2"/>
  <c r="C105" i="2" s="1"/>
  <c r="C106" i="2" s="1"/>
  <c r="B104" i="2"/>
  <c r="B105" i="2" s="1"/>
  <c r="B106" i="2" s="1"/>
  <c r="A104" i="2"/>
  <c r="A105" i="2" s="1"/>
  <c r="A106" i="2" s="1"/>
  <c r="C108" i="1"/>
  <c r="B108" i="1"/>
  <c r="A108" i="1"/>
  <c r="L67" i="2"/>
  <c r="L79" i="2"/>
  <c r="L73" i="2"/>
  <c r="C149" i="1"/>
  <c r="B149" i="1"/>
  <c r="A149" i="1"/>
  <c r="C80" i="1"/>
  <c r="B80" i="1"/>
  <c r="A80" i="1"/>
  <c r="C184" i="1"/>
  <c r="C185" i="1" s="1"/>
  <c r="C186" i="1" s="1"/>
  <c r="B184" i="1"/>
  <c r="B185" i="1" s="1"/>
  <c r="B186" i="1" s="1"/>
  <c r="A184" i="1"/>
  <c r="A185" i="1" s="1"/>
  <c r="A186" i="1" s="1"/>
  <c r="C201" i="1"/>
  <c r="C202" i="1" s="1"/>
  <c r="C203" i="1" s="1"/>
  <c r="C204" i="1" s="1"/>
  <c r="B201" i="1"/>
  <c r="B202" i="1" s="1"/>
  <c r="B203" i="1" s="1"/>
  <c r="B204" i="1" s="1"/>
  <c r="A201" i="1"/>
  <c r="A202" i="1" s="1"/>
  <c r="A203" i="1" s="1"/>
  <c r="A204" i="1" s="1"/>
  <c r="C44" i="1"/>
  <c r="C46" i="1" s="1"/>
  <c r="C48" i="1" s="1"/>
  <c r="B44" i="1"/>
  <c r="B46" i="1" s="1"/>
  <c r="B48" i="1" s="1"/>
  <c r="A44" i="1"/>
  <c r="A46" i="1" s="1"/>
  <c r="A48" i="1" s="1"/>
  <c r="C213" i="1"/>
  <c r="C214" i="1" s="1"/>
  <c r="C215" i="1" s="1"/>
  <c r="B213" i="1"/>
  <c r="B214" i="1" s="1"/>
  <c r="B215" i="1" s="1"/>
  <c r="A213" i="1"/>
  <c r="A214" i="1" s="1"/>
  <c r="A215" i="1" s="1"/>
  <c r="C194" i="1"/>
  <c r="C195" i="1" s="1"/>
  <c r="A194" i="1"/>
  <c r="A195" i="1" s="1"/>
  <c r="C90" i="1"/>
  <c r="B90" i="1"/>
  <c r="A90" i="1"/>
  <c r="A138" i="1"/>
  <c r="A139" i="1" s="1"/>
  <c r="C138" i="1"/>
  <c r="C139" i="1" s="1"/>
  <c r="B138" i="1"/>
  <c r="B139" i="1" s="1"/>
  <c r="K220" i="1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7" i="2"/>
  <c r="M97" i="2"/>
  <c r="L97" i="2"/>
  <c r="N96" i="2"/>
  <c r="M96" i="2"/>
  <c r="L96" i="2"/>
  <c r="C96" i="2"/>
  <c r="C97" i="2" s="1"/>
  <c r="B96" i="2"/>
  <c r="B97" i="2" s="1"/>
  <c r="A96" i="2"/>
  <c r="A97" i="2" s="1"/>
  <c r="N95" i="2"/>
  <c r="M95" i="2"/>
  <c r="L95" i="2"/>
  <c r="N94" i="2"/>
  <c r="M94" i="2"/>
  <c r="L94" i="2"/>
  <c r="N93" i="2"/>
  <c r="M93" i="2"/>
  <c r="L93" i="2"/>
  <c r="C93" i="2"/>
  <c r="C94" i="2" s="1"/>
  <c r="B93" i="2"/>
  <c r="B94" i="2" s="1"/>
  <c r="A93" i="2"/>
  <c r="A94" i="2" s="1"/>
  <c r="N92" i="2"/>
  <c r="M92" i="2"/>
  <c r="L92" i="2"/>
  <c r="N91" i="2"/>
  <c r="M91" i="2"/>
  <c r="L91" i="2"/>
  <c r="N90" i="2"/>
  <c r="M90" i="2"/>
  <c r="L90" i="2"/>
  <c r="C90" i="2"/>
  <c r="C91" i="2" s="1"/>
  <c r="B90" i="2"/>
  <c r="B91" i="2" s="1"/>
  <c r="A90" i="2"/>
  <c r="A91" i="2" s="1"/>
  <c r="N89" i="2"/>
  <c r="M89" i="2"/>
  <c r="L89" i="2"/>
  <c r="N88" i="2"/>
  <c r="M88" i="2"/>
  <c r="L88" i="2"/>
  <c r="N87" i="2"/>
  <c r="M87" i="2"/>
  <c r="L87" i="2"/>
  <c r="C87" i="2"/>
  <c r="C88" i="2" s="1"/>
  <c r="B87" i="2"/>
  <c r="B88" i="2" s="1"/>
  <c r="A87" i="2"/>
  <c r="A88" i="2" s="1"/>
  <c r="N86" i="2"/>
  <c r="M86" i="2"/>
  <c r="L86" i="2"/>
  <c r="N85" i="2"/>
  <c r="M85" i="2"/>
  <c r="L85" i="2"/>
  <c r="N83" i="2"/>
  <c r="M83" i="2"/>
  <c r="L83" i="2"/>
  <c r="C83" i="2"/>
  <c r="C85" i="2" s="1"/>
  <c r="B83" i="2"/>
  <c r="B85" i="2" s="1"/>
  <c r="A83" i="2"/>
  <c r="A85" i="2" s="1"/>
  <c r="N82" i="2"/>
  <c r="M82" i="2"/>
  <c r="L82" i="2"/>
  <c r="N81" i="2"/>
  <c r="M81" i="2"/>
  <c r="L81" i="2"/>
  <c r="C81" i="2"/>
  <c r="B81" i="2"/>
  <c r="A81" i="2"/>
  <c r="N79" i="2"/>
  <c r="M79" i="2"/>
  <c r="N78" i="2"/>
  <c r="M78" i="2"/>
  <c r="L78" i="2"/>
  <c r="N77" i="2"/>
  <c r="M77" i="2"/>
  <c r="L77" i="2"/>
  <c r="C77" i="2"/>
  <c r="C78" i="2" s="1"/>
  <c r="B77" i="2"/>
  <c r="B78" i="2" s="1"/>
  <c r="A77" i="2"/>
  <c r="A78" i="2" s="1"/>
  <c r="N76" i="2"/>
  <c r="M76" i="2"/>
  <c r="L76" i="2"/>
  <c r="N75" i="2"/>
  <c r="M75" i="2"/>
  <c r="L75" i="2"/>
  <c r="N74" i="2"/>
  <c r="M74" i="2"/>
  <c r="L74" i="2"/>
  <c r="C74" i="2"/>
  <c r="C75" i="2" s="1"/>
  <c r="B74" i="2"/>
  <c r="B75" i="2" s="1"/>
  <c r="A74" i="2"/>
  <c r="A75" i="2" s="1"/>
  <c r="N73" i="2"/>
  <c r="M73" i="2"/>
  <c r="N72" i="2"/>
  <c r="M72" i="2"/>
  <c r="L72" i="2"/>
  <c r="N71" i="2"/>
  <c r="M71" i="2"/>
  <c r="L71" i="2"/>
  <c r="N70" i="2"/>
  <c r="M70" i="2"/>
  <c r="L70" i="2"/>
  <c r="C70" i="2"/>
  <c r="C71" i="2" s="1"/>
  <c r="C72" i="2" s="1"/>
  <c r="B70" i="2"/>
  <c r="B71" i="2" s="1"/>
  <c r="B72" i="2" s="1"/>
  <c r="A70" i="2"/>
  <c r="A71" i="2" s="1"/>
  <c r="A72" i="2" s="1"/>
  <c r="N69" i="2"/>
  <c r="M69" i="2"/>
  <c r="L69" i="2"/>
  <c r="N68" i="2"/>
  <c r="M68" i="2"/>
  <c r="L68" i="2"/>
  <c r="N67" i="2"/>
  <c r="M67" i="2"/>
  <c r="C67" i="2"/>
  <c r="C68" i="2" s="1"/>
  <c r="B67" i="2"/>
  <c r="B68" i="2" s="1"/>
  <c r="A67" i="2"/>
  <c r="A68" i="2" s="1"/>
  <c r="N66" i="2"/>
  <c r="M66" i="2"/>
  <c r="L66" i="2"/>
  <c r="N65" i="2"/>
  <c r="M65" i="2"/>
  <c r="L65" i="2"/>
  <c r="N64" i="2"/>
  <c r="M64" i="2"/>
  <c r="L64" i="2"/>
  <c r="C64" i="2"/>
  <c r="C65" i="2" s="1"/>
  <c r="B64" i="2"/>
  <c r="B65" i="2" s="1"/>
  <c r="A64" i="2"/>
  <c r="A65" i="2" s="1"/>
  <c r="N63" i="2"/>
  <c r="M63" i="2"/>
  <c r="L63" i="2"/>
  <c r="N62" i="2"/>
  <c r="M62" i="2"/>
  <c r="L62" i="2"/>
  <c r="N60" i="2"/>
  <c r="M60" i="2"/>
  <c r="L60" i="2"/>
  <c r="C60" i="2"/>
  <c r="C62" i="2" s="1"/>
  <c r="B60" i="2"/>
  <c r="B62" i="2" s="1"/>
  <c r="A60" i="2"/>
  <c r="A62" i="2" s="1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C55" i="2"/>
  <c r="C56" i="2" s="1"/>
  <c r="C57" i="2" s="1"/>
  <c r="C58" i="2" s="1"/>
  <c r="B55" i="2"/>
  <c r="B56" i="2" s="1"/>
  <c r="B57" i="2" s="1"/>
  <c r="B58" i="2" s="1"/>
  <c r="N54" i="2"/>
  <c r="M54" i="2"/>
  <c r="L54" i="2"/>
  <c r="A54" i="2"/>
  <c r="A55" i="2" s="1"/>
  <c r="A56" i="2" s="1"/>
  <c r="A57" i="2" s="1"/>
  <c r="A58" i="2" s="1"/>
  <c r="N53" i="2"/>
  <c r="M53" i="2"/>
  <c r="L53" i="2"/>
  <c r="C53" i="2"/>
  <c r="B53" i="2"/>
  <c r="A53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C46" i="2"/>
  <c r="C47" i="2" s="1"/>
  <c r="C48" i="2" s="1"/>
  <c r="C49" i="2" s="1"/>
  <c r="C50" i="2" s="1"/>
  <c r="B46" i="2"/>
  <c r="B47" i="2" s="1"/>
  <c r="B48" i="2" s="1"/>
  <c r="B49" i="2" s="1"/>
  <c r="B50" i="2" s="1"/>
  <c r="A46" i="2"/>
  <c r="A47" i="2" s="1"/>
  <c r="A48" i="2" s="1"/>
  <c r="A49" i="2" s="1"/>
  <c r="A50" i="2" s="1"/>
  <c r="N45" i="2"/>
  <c r="M45" i="2"/>
  <c r="L45" i="2"/>
  <c r="N44" i="2"/>
  <c r="M44" i="2"/>
  <c r="L44" i="2"/>
  <c r="N42" i="2"/>
  <c r="M42" i="2"/>
  <c r="L42" i="2"/>
  <c r="N41" i="2"/>
  <c r="M41" i="2"/>
  <c r="L41" i="2"/>
  <c r="N40" i="2"/>
  <c r="M40" i="2"/>
  <c r="L40" i="2"/>
  <c r="N39" i="2"/>
  <c r="M39" i="2"/>
  <c r="L39" i="2"/>
  <c r="C39" i="2"/>
  <c r="C40" i="2" s="1"/>
  <c r="C41" i="2" s="1"/>
  <c r="C42" i="2" s="1"/>
  <c r="C44" i="2" s="1"/>
  <c r="B39" i="2"/>
  <c r="B40" i="2" s="1"/>
  <c r="B41" i="2" s="1"/>
  <c r="B42" i="2" s="1"/>
  <c r="B44" i="2" s="1"/>
  <c r="A39" i="2"/>
  <c r="A40" i="2" s="1"/>
  <c r="A41" i="2" s="1"/>
  <c r="A42" i="2" s="1"/>
  <c r="A44" i="2" s="1"/>
  <c r="N38" i="2"/>
  <c r="M38" i="2"/>
  <c r="L38" i="2"/>
  <c r="N37" i="2"/>
  <c r="M37" i="2"/>
  <c r="L37" i="2"/>
  <c r="N36" i="2"/>
  <c r="M36" i="2"/>
  <c r="L36" i="2"/>
  <c r="C36" i="2"/>
  <c r="C37" i="2" s="1"/>
  <c r="B36" i="2"/>
  <c r="B37" i="2" s="1"/>
  <c r="A36" i="2"/>
  <c r="A37" i="2" s="1"/>
  <c r="N35" i="2"/>
  <c r="M35" i="2"/>
  <c r="L35" i="2"/>
  <c r="N34" i="2"/>
  <c r="M34" i="2"/>
  <c r="L34" i="2"/>
  <c r="N33" i="2"/>
  <c r="M33" i="2"/>
  <c r="L33" i="2"/>
  <c r="C33" i="2"/>
  <c r="C34" i="2" s="1"/>
  <c r="B33" i="2"/>
  <c r="B34" i="2" s="1"/>
  <c r="A33" i="2"/>
  <c r="A34" i="2" s="1"/>
  <c r="N32" i="2"/>
  <c r="M32" i="2"/>
  <c r="L32" i="2"/>
  <c r="N31" i="2"/>
  <c r="M31" i="2"/>
  <c r="L31" i="2"/>
  <c r="N30" i="2"/>
  <c r="M30" i="2"/>
  <c r="L30" i="2"/>
  <c r="N29" i="2"/>
  <c r="M29" i="2"/>
  <c r="L29" i="2"/>
  <c r="C29" i="2"/>
  <c r="C30" i="2" s="1"/>
  <c r="C31" i="2" s="1"/>
  <c r="B29" i="2"/>
  <c r="B30" i="2" s="1"/>
  <c r="B31" i="2" s="1"/>
  <c r="A29" i="2"/>
  <c r="A30" i="2" s="1"/>
  <c r="A31" i="2" s="1"/>
  <c r="N28" i="2"/>
  <c r="M28" i="2"/>
  <c r="L28" i="2"/>
  <c r="N27" i="2"/>
  <c r="M27" i="2"/>
  <c r="L27" i="2"/>
  <c r="N26" i="2"/>
  <c r="M26" i="2"/>
  <c r="L26" i="2"/>
  <c r="N25" i="2"/>
  <c r="M25" i="2"/>
  <c r="L25" i="2"/>
  <c r="C25" i="2"/>
  <c r="C26" i="2" s="1"/>
  <c r="C27" i="2" s="1"/>
  <c r="B25" i="2"/>
  <c r="B26" i="2" s="1"/>
  <c r="B27" i="2" s="1"/>
  <c r="A25" i="2"/>
  <c r="A26" i="2" s="1"/>
  <c r="A27" i="2" s="1"/>
  <c r="N24" i="2"/>
  <c r="M24" i="2"/>
  <c r="L24" i="2"/>
  <c r="N23" i="2"/>
  <c r="M23" i="2"/>
  <c r="L23" i="2"/>
  <c r="N21" i="2"/>
  <c r="M21" i="2"/>
  <c r="L21" i="2"/>
  <c r="N20" i="2"/>
  <c r="M20" i="2"/>
  <c r="L20" i="2"/>
  <c r="C20" i="2"/>
  <c r="C22" i="2" s="1"/>
  <c r="B20" i="2"/>
  <c r="B22" i="2" s="1"/>
  <c r="A20" i="2"/>
  <c r="A22" i="2" s="1"/>
  <c r="N19" i="2"/>
  <c r="M19" i="2"/>
  <c r="L19" i="2"/>
  <c r="N18" i="2"/>
  <c r="M18" i="2"/>
  <c r="L18" i="2"/>
  <c r="N16" i="2"/>
  <c r="M16" i="2"/>
  <c r="L16" i="2"/>
  <c r="N15" i="2"/>
  <c r="M15" i="2"/>
  <c r="L15" i="2"/>
  <c r="C15" i="2"/>
  <c r="C16" i="2" s="1"/>
  <c r="C18" i="2" s="1"/>
  <c r="B15" i="2"/>
  <c r="B16" i="2" s="1"/>
  <c r="B18" i="2" s="1"/>
  <c r="A15" i="2"/>
  <c r="A16" i="2" s="1"/>
  <c r="A18" i="2" s="1"/>
  <c r="N14" i="2"/>
  <c r="M14" i="2"/>
  <c r="L14" i="2"/>
  <c r="N13" i="2"/>
  <c r="M13" i="2"/>
  <c r="L13" i="2"/>
  <c r="N11" i="2"/>
  <c r="M11" i="2"/>
  <c r="L11" i="2"/>
  <c r="C11" i="2"/>
  <c r="C13" i="2" s="1"/>
  <c r="B11" i="2"/>
  <c r="B13" i="2" s="1"/>
  <c r="A11" i="2"/>
  <c r="A13" i="2" s="1"/>
  <c r="N10" i="2"/>
  <c r="M10" i="2"/>
  <c r="L10" i="2"/>
  <c r="C6" i="2"/>
  <c r="C8" i="2" s="1"/>
  <c r="B6" i="2"/>
  <c r="B8" i="2" s="1"/>
  <c r="A6" i="2"/>
  <c r="A7" i="2" s="1"/>
  <c r="A9" i="2" s="1"/>
  <c r="B11" i="1"/>
  <c r="C11" i="1"/>
  <c r="B16" i="1"/>
  <c r="C16" i="1"/>
  <c r="B19" i="1"/>
  <c r="C19" i="1"/>
  <c r="B21" i="1"/>
  <c r="B22" i="1" s="1"/>
  <c r="B24" i="1" s="1"/>
  <c r="C21" i="1"/>
  <c r="C22" i="1" s="1"/>
  <c r="C24" i="1" s="1"/>
  <c r="B26" i="1"/>
  <c r="C26" i="1"/>
  <c r="B28" i="1"/>
  <c r="B30" i="1" s="1"/>
  <c r="C28" i="1"/>
  <c r="C30" i="1" s="1"/>
  <c r="B32" i="1"/>
  <c r="B33" i="1" s="1"/>
  <c r="B35" i="1" s="1"/>
  <c r="C32" i="1"/>
  <c r="C33" i="1" s="1"/>
  <c r="C35" i="1" s="1"/>
  <c r="B50" i="1"/>
  <c r="B51" i="1" s="1"/>
  <c r="B52" i="1" s="1"/>
  <c r="C50" i="1"/>
  <c r="C51" i="1" s="1"/>
  <c r="C52" i="1" s="1"/>
  <c r="B54" i="1"/>
  <c r="C54" i="1"/>
  <c r="B56" i="1"/>
  <c r="B57" i="1" s="1"/>
  <c r="B58" i="1" s="1"/>
  <c r="C56" i="1"/>
  <c r="C57" i="1" s="1"/>
  <c r="C58" i="1" s="1"/>
  <c r="C59" i="1" s="1"/>
  <c r="B62" i="1"/>
  <c r="B64" i="1"/>
  <c r="B65" i="1" s="1"/>
  <c r="C64" i="1"/>
  <c r="C65" i="1" s="1"/>
  <c r="B69" i="1"/>
  <c r="B70" i="1" s="1"/>
  <c r="C69" i="1"/>
  <c r="C70" i="1" s="1"/>
  <c r="B72" i="1"/>
  <c r="C72" i="1"/>
  <c r="B74" i="1"/>
  <c r="B75" i="1" s="1"/>
  <c r="B76" i="1" s="1"/>
  <c r="B77" i="1" s="1"/>
  <c r="B79" i="1" s="1"/>
  <c r="C74" i="1"/>
  <c r="C75" i="1" s="1"/>
  <c r="C76" i="1" s="1"/>
  <c r="C77" i="1" s="1"/>
  <c r="C79" i="1" s="1"/>
  <c r="B82" i="1"/>
  <c r="B83" i="1" s="1"/>
  <c r="B84" i="1" s="1"/>
  <c r="B85" i="1" s="1"/>
  <c r="B86" i="1" s="1"/>
  <c r="C82" i="1"/>
  <c r="C83" i="1" s="1"/>
  <c r="C84" i="1" s="1"/>
  <c r="C85" i="1" s="1"/>
  <c r="C86" i="1" s="1"/>
  <c r="B89" i="1"/>
  <c r="C89" i="1"/>
  <c r="B94" i="1"/>
  <c r="B95" i="1" s="1"/>
  <c r="B96" i="1" s="1"/>
  <c r="B97" i="1" s="1"/>
  <c r="C94" i="1"/>
  <c r="C95" i="1" s="1"/>
  <c r="C96" i="1" s="1"/>
  <c r="C97" i="1" s="1"/>
  <c r="B99" i="1"/>
  <c r="C99" i="1"/>
  <c r="B101" i="1"/>
  <c r="B103" i="1"/>
  <c r="C103" i="1"/>
  <c r="B105" i="1"/>
  <c r="B107" i="1" s="1"/>
  <c r="C105" i="1"/>
  <c r="C107" i="1" s="1"/>
  <c r="B112" i="1"/>
  <c r="B113" i="1" s="1"/>
  <c r="C112" i="1"/>
  <c r="C113" i="1" s="1"/>
  <c r="B115" i="1"/>
  <c r="B116" i="1" s="1"/>
  <c r="B117" i="1" s="1"/>
  <c r="C115" i="1"/>
  <c r="C116" i="1" s="1"/>
  <c r="C117" i="1" s="1"/>
  <c r="B122" i="1"/>
  <c r="C122" i="1"/>
  <c r="B125" i="1"/>
  <c r="B126" i="1" s="1"/>
  <c r="B127" i="1" s="1"/>
  <c r="C125" i="1"/>
  <c r="C126" i="1" s="1"/>
  <c r="C127" i="1" s="1"/>
  <c r="B130" i="1"/>
  <c r="B131" i="1" s="1"/>
  <c r="C130" i="1"/>
  <c r="C131" i="1" s="1"/>
  <c r="B133" i="1"/>
  <c r="C133" i="1"/>
  <c r="B142" i="1"/>
  <c r="B143" i="1" s="1"/>
  <c r="C142" i="1"/>
  <c r="C143" i="1" s="1"/>
  <c r="B148" i="1"/>
  <c r="C148" i="1"/>
  <c r="B154" i="1"/>
  <c r="B156" i="1" s="1"/>
  <c r="C154" i="1"/>
  <c r="C156" i="1" s="1"/>
  <c r="B160" i="1"/>
  <c r="C160" i="1"/>
  <c r="B170" i="1"/>
  <c r="B171" i="1" s="1"/>
  <c r="C170" i="1"/>
  <c r="C171" i="1" s="1"/>
  <c r="B173" i="1"/>
  <c r="C173" i="1"/>
  <c r="B175" i="1"/>
  <c r="B176" i="1" s="1"/>
  <c r="B177" i="1" s="1"/>
  <c r="C175" i="1"/>
  <c r="C176" i="1" s="1"/>
  <c r="C177" i="1" s="1"/>
  <c r="B180" i="1"/>
  <c r="C180" i="1"/>
  <c r="C188" i="1"/>
  <c r="C189" i="1" s="1"/>
  <c r="B198" i="1"/>
  <c r="B199" i="1" s="1"/>
  <c r="C198" i="1"/>
  <c r="C199" i="1" s="1"/>
  <c r="B208" i="1"/>
  <c r="B209" i="1" s="1"/>
  <c r="C208" i="1"/>
  <c r="C209" i="1" s="1"/>
  <c r="B227" i="1"/>
  <c r="C227" i="1"/>
  <c r="B232" i="1"/>
  <c r="C232" i="1"/>
  <c r="B234" i="1"/>
  <c r="C234" i="1"/>
  <c r="B238" i="1"/>
  <c r="C238" i="1"/>
  <c r="B243" i="1"/>
  <c r="C243" i="1"/>
  <c r="B249" i="1"/>
  <c r="C249" i="1"/>
  <c r="B258" i="1"/>
  <c r="C258" i="1"/>
  <c r="B273" i="1"/>
  <c r="C273" i="1"/>
  <c r="C298" i="1"/>
  <c r="C299" i="1" s="1"/>
  <c r="B9" i="1"/>
  <c r="C9" i="1"/>
  <c r="A99" i="1"/>
  <c r="A101" i="1"/>
  <c r="A103" i="1"/>
  <c r="A105" i="1"/>
  <c r="A107" i="1" s="1"/>
  <c r="A112" i="1"/>
  <c r="A113" i="1" s="1"/>
  <c r="A115" i="1"/>
  <c r="A116" i="1" s="1"/>
  <c r="A117" i="1" s="1"/>
  <c r="A122" i="1"/>
  <c r="A125" i="1"/>
  <c r="A126" i="1" s="1"/>
  <c r="A127" i="1" s="1"/>
  <c r="A130" i="1"/>
  <c r="A131" i="1" s="1"/>
  <c r="A133" i="1"/>
  <c r="A142" i="1"/>
  <c r="A143" i="1" s="1"/>
  <c r="A148" i="1"/>
  <c r="A154" i="1"/>
  <c r="A156" i="1" s="1"/>
  <c r="A160" i="1"/>
  <c r="A170" i="1"/>
  <c r="A171" i="1" s="1"/>
  <c r="A173" i="1"/>
  <c r="A175" i="1"/>
  <c r="A176" i="1" s="1"/>
  <c r="A177" i="1" s="1"/>
  <c r="A180" i="1"/>
  <c r="A198" i="1"/>
  <c r="A208" i="1"/>
  <c r="A209" i="1" s="1"/>
  <c r="A227" i="1"/>
  <c r="A232" i="1"/>
  <c r="A234" i="1"/>
  <c r="A238" i="1"/>
  <c r="A243" i="1"/>
  <c r="A249" i="1"/>
  <c r="A258" i="1"/>
  <c r="A273" i="1"/>
  <c r="A89" i="1"/>
  <c r="A93" i="1"/>
  <c r="A94" i="1" s="1"/>
  <c r="A95" i="1" s="1"/>
  <c r="A96" i="1" s="1"/>
  <c r="A97" i="1" s="1"/>
  <c r="A82" i="1"/>
  <c r="A83" i="1" s="1"/>
  <c r="A84" i="1" s="1"/>
  <c r="A85" i="1" s="1"/>
  <c r="A86" i="1" s="1"/>
  <c r="A72" i="1"/>
  <c r="A74" i="1"/>
  <c r="A75" i="1" s="1"/>
  <c r="A76" i="1" s="1"/>
  <c r="A77" i="1" s="1"/>
  <c r="A79" i="1" s="1"/>
  <c r="A69" i="1"/>
  <c r="A70" i="1" s="1"/>
  <c r="A64" i="1"/>
  <c r="A65" i="1" s="1"/>
  <c r="A62" i="1"/>
  <c r="A56" i="1"/>
  <c r="A57" i="1" s="1"/>
  <c r="A58" i="1" s="1"/>
  <c r="A59" i="1" s="1"/>
  <c r="A54" i="1"/>
  <c r="A50" i="1"/>
  <c r="A51" i="1" s="1"/>
  <c r="A52" i="1" s="1"/>
  <c r="A32" i="1"/>
  <c r="A33" i="1" s="1"/>
  <c r="A35" i="1" s="1"/>
  <c r="A28" i="1"/>
  <c r="A30" i="1" s="1"/>
  <c r="A26" i="1"/>
  <c r="A21" i="1"/>
  <c r="A22" i="1" s="1"/>
  <c r="A24" i="1" s="1"/>
  <c r="A19" i="1"/>
  <c r="A16" i="1"/>
  <c r="A9" i="1"/>
  <c r="A11" i="1"/>
  <c r="C7" i="2" l="1"/>
  <c r="C9" i="2" s="1"/>
  <c r="C21" i="2"/>
  <c r="C23" i="2" s="1"/>
  <c r="B7" i="2"/>
  <c r="B9" i="2" s="1"/>
  <c r="B23" i="1"/>
  <c r="A45" i="1"/>
  <c r="A47" i="1" s="1"/>
  <c r="B45" i="1"/>
  <c r="B47" i="1" s="1"/>
  <c r="A23" i="1"/>
  <c r="C45" i="1"/>
  <c r="C47" i="1" s="1"/>
  <c r="C23" i="1"/>
  <c r="A21" i="2"/>
  <c r="A23" i="2" s="1"/>
  <c r="A8" i="2"/>
  <c r="B21" i="2"/>
  <c r="B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Maintenance</author>
    <author>MAINTENANCE EXEC</author>
  </authors>
  <commentList>
    <comment ref="J27" authorId="0" shapeId="0" xr:uid="{CA9D5992-8FE8-4637-A313-15F90E6A1AEB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Umur motoran 1 Hari Sudah Garansi Supplier</t>
        </r>
      </text>
    </comment>
    <comment ref="J50" authorId="0" shapeId="0" xr:uid="{1470D563-1551-4DC3-86C8-642CC11D395C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ANEKA BILANG 
TEST DIWORKSOP MEREKA SUDAH OK
JADI TIDAK SALAH REWINDING…
BISA JADI SALAH MEKANIKAL, SEPERTI BEARING</t>
        </r>
      </text>
    </comment>
    <comment ref="J52" authorId="1" shapeId="0" xr:uid="{C3EF5990-FBB6-4838-883F-69C2F1B8F6FF}">
      <text>
        <r>
          <rPr>
            <b/>
            <sz val="9"/>
            <color indexed="81"/>
            <rFont val="Tahoma"/>
            <family val="2"/>
          </rPr>
          <t>MAINTENANCE EXEC:</t>
        </r>
        <r>
          <rPr>
            <sz val="9"/>
            <color indexed="81"/>
            <rFont val="Tahoma"/>
            <family val="2"/>
          </rPr>
          <t xml:space="preserve">
Masuk tgl 1 agustus (ampere tinggi), garansi supplier repair ulang berangkat tgl 2 agustus.</t>
        </r>
      </text>
    </comment>
    <comment ref="J82" authorId="0" shapeId="0" xr:uid="{54435B57-374C-42BB-8D2F-817819517045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SUDAH GANTI BEARING 20-7-2022 AMPERE TETAP TINGGI
Repair Ulang (Garansi Supplier)
Berangkat : 21 Juli 2022
Masuk      : 19 Agustus 2022</t>
        </r>
      </text>
    </comment>
    <comment ref="J99" authorId="0" shapeId="0" xr:uid="{53EEA2AF-5DDB-48E5-B9D1-66CE03ABD7F6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DIKEMBALIKAN KE PT BUKARA, KARNA ELMOT DALAM KONDISI BAGUS</t>
        </r>
      </text>
    </comment>
    <comment ref="J124" authorId="0" shapeId="0" xr:uid="{61B8B383-146D-4C57-A74B-64F6AA7A7D90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SUDAH DIREPAIR ULANG</t>
        </r>
      </text>
    </comment>
    <comment ref="F130" authorId="0" shapeId="0" xr:uid="{E33445FA-0B63-4355-8679-E3C48FBFFFBA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Motoran bocor phasa ke body elmot
Repair ulang/ garansi supplier
Berangkat : 18 Agustus 2022</t>
        </r>
      </text>
    </comment>
    <comment ref="J146" authorId="0" shapeId="0" xr:uid="{D56C6CF1-E588-481B-9020-24CB14E23DF6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SUDAH MASUK 
RABU, 13 JULI 2022</t>
        </r>
      </text>
    </comment>
    <comment ref="J217" authorId="0" shapeId="0" xr:uid="{3543EAF4-20DD-42FE-A8D6-47F3E2E902AF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TGL 1 DESEMBER 2022 - AMPER TINGGI
</t>
        </r>
      </text>
    </comment>
    <comment ref="A254" authorId="0" shapeId="0" xr:uid="{F2B5CF4C-0CF7-4A72-9222-A06BBC02AD9F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double</t>
        </r>
      </text>
    </comment>
    <comment ref="A255" authorId="0" shapeId="0" xr:uid="{27E9D22B-FEB3-4273-B492-97644C8115D0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double</t>
        </r>
      </text>
    </comment>
    <comment ref="J260" authorId="1" shapeId="0" xr:uid="{56B448A0-4146-4A39-A715-7EB5C97404E8}">
      <text>
        <r>
          <rPr>
            <b/>
            <sz val="9"/>
            <color indexed="81"/>
            <rFont val="Tahoma"/>
            <family val="2"/>
          </rPr>
          <t>MAINTENANCE EXEC:</t>
        </r>
        <r>
          <rPr>
            <sz val="9"/>
            <color indexed="81"/>
            <rFont val="Tahoma"/>
            <family val="2"/>
          </rPr>
          <t xml:space="preserve">
Sudah dipasang kembali tgl 23 juli 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Maintenance</author>
    <author>MAINTENANCE EXEC</author>
  </authors>
  <commentList>
    <comment ref="J10" authorId="0" shapeId="0" xr:uid="{7E1FBFC8-8310-45C8-A23B-BC334B628835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Umur motoran 1 Hari Sudah Garansi Supplier</t>
        </r>
      </text>
    </comment>
    <comment ref="J25" authorId="0" shapeId="0" xr:uid="{A37BF33C-9EDA-46A3-AC11-D0C654F7EA91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ANEKA BILANG 
TEST DIWORKSOP MEREKA SUDAH OK
JADI TIDAK SALAH REWINDING…
BISA JADI SALAH MEKANIKAL, SEPERTI BEARING</t>
        </r>
      </text>
    </comment>
    <comment ref="J27" authorId="1" shapeId="0" xr:uid="{A50C7857-47AC-48D2-BFCB-59E45A826E75}">
      <text>
        <r>
          <rPr>
            <b/>
            <sz val="9"/>
            <color indexed="81"/>
            <rFont val="Tahoma"/>
            <family val="2"/>
          </rPr>
          <t>MAINTENANCE EXEC:</t>
        </r>
        <r>
          <rPr>
            <sz val="9"/>
            <color indexed="81"/>
            <rFont val="Tahoma"/>
            <family val="2"/>
          </rPr>
          <t xml:space="preserve">
Masuk tgl 1 agustus (ampere tinggi), garansi supplier repair ulang berangkat tgl 2 agustus.</t>
        </r>
      </text>
    </comment>
    <comment ref="J46" authorId="0" shapeId="0" xr:uid="{9EB1692B-2ED0-4C8C-805E-9199529048A1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SUDAH GANTI BEARING 20-7-2022 AMPERE TETAP TINGGI
Repair Ulang (Garansi Supplier)
Berangkat : 21 Juli 2022
Masuk      : 19 Agustus 2022</t>
        </r>
      </text>
    </comment>
    <comment ref="J69" authorId="0" shapeId="0" xr:uid="{EFA31FE1-D94F-47D4-8215-4D42F5149BC8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SUDAH DIREPAIR ULANG</t>
        </r>
      </text>
    </comment>
    <comment ref="F74" authorId="0" shapeId="0" xr:uid="{50645524-9474-4042-A957-71F3672C41F3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Motoran bocor phasa ke body elmot
Repair ulang/ garansi supplier
Berangkat : 18 Agustus 2022</t>
        </r>
      </text>
    </comment>
    <comment ref="J79" authorId="0" shapeId="0" xr:uid="{F778A453-5002-40B2-9CA4-6F5BE9083C42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SUDAH MASUK 
RABU, 13 JULI 2022</t>
        </r>
      </text>
    </comment>
    <comment ref="A132" authorId="0" shapeId="0" xr:uid="{24F15F4E-F27C-4C22-AE7B-37BE9B10A69F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double</t>
        </r>
      </text>
    </comment>
    <comment ref="A133" authorId="0" shapeId="0" xr:uid="{643C757C-B2F4-4E73-BB67-D1D571CADCEF}">
      <text>
        <r>
          <rPr>
            <b/>
            <sz val="9"/>
            <color indexed="81"/>
            <rFont val="Tahoma"/>
            <family val="2"/>
          </rPr>
          <t>Maintenance:</t>
        </r>
        <r>
          <rPr>
            <sz val="9"/>
            <color indexed="81"/>
            <rFont val="Tahoma"/>
            <family val="2"/>
          </rPr>
          <t xml:space="preserve">
double</t>
        </r>
      </text>
    </comment>
  </commentList>
</comments>
</file>

<file path=xl/sharedStrings.xml><?xml version="1.0" encoding="utf-8"?>
<sst xmlns="http://schemas.openxmlformats.org/spreadsheetml/2006/main" count="2717" uniqueCount="939">
  <si>
    <t>HISTORY REWINDING - ELECTRO MOTOR</t>
  </si>
  <si>
    <t>TAG NO. ELECTRIC MOTOR</t>
  </si>
  <si>
    <t>KW</t>
  </si>
  <si>
    <t>RPM</t>
  </si>
  <si>
    <t>TGL. TERBAKAR ELMOT</t>
  </si>
  <si>
    <t>TGL. BERANGKAT ELMOT</t>
  </si>
  <si>
    <t>TGL. MASUK ELMOT</t>
  </si>
  <si>
    <t>TGL. PEMASANGAN</t>
  </si>
  <si>
    <t>SECTION</t>
  </si>
  <si>
    <t>REMARKS</t>
  </si>
  <si>
    <t>EM.0001</t>
  </si>
  <si>
    <t>24 AGUSTUS 2021</t>
  </si>
  <si>
    <t>CV. SURYA ELECTRO SERVICE - MEDAN</t>
  </si>
  <si>
    <t>+- 1 Bulan, 12 Hari</t>
  </si>
  <si>
    <t>20 JANUARI 2022</t>
  </si>
  <si>
    <t>08 FEBRUARI 2022</t>
  </si>
  <si>
    <t>Cv. Aneka Electro - Dumai</t>
  </si>
  <si>
    <t>01 FEBRUARI 2023</t>
  </si>
  <si>
    <t>EM.0002</t>
  </si>
  <si>
    <t>29 JUNI 2021</t>
  </si>
  <si>
    <t>+- 2 Tahun, 4 Bulan</t>
  </si>
  <si>
    <t>14 OKTOBER 2021</t>
  </si>
  <si>
    <t>25 NOVEMBER 2021</t>
  </si>
  <si>
    <t>11 AGUSTUS 2022</t>
  </si>
  <si>
    <t>EM.0003</t>
  </si>
  <si>
    <t>Dinamo Cas WL</t>
  </si>
  <si>
    <t>18 MARET 2022</t>
  </si>
  <si>
    <t>EM.0004</t>
  </si>
  <si>
    <t>Dinamo Start WL</t>
  </si>
  <si>
    <t>EM.0005</t>
  </si>
  <si>
    <t>7.5</t>
  </si>
  <si>
    <t>EM.0006</t>
  </si>
  <si>
    <t>04 JANUARI 2022</t>
  </si>
  <si>
    <t>12 Desember 2023</t>
  </si>
  <si>
    <t>13 Desember 2023</t>
  </si>
  <si>
    <t>20 Desember 2023</t>
  </si>
  <si>
    <t>EM.0007</t>
  </si>
  <si>
    <t>30 NOVEMBER 2021</t>
  </si>
  <si>
    <t>20 DESEMBER 2021</t>
  </si>
  <si>
    <t>EM.0008</t>
  </si>
  <si>
    <t>20 JANUARI 2023</t>
  </si>
  <si>
    <t>06 FEBRUARI 2023</t>
  </si>
  <si>
    <t>AFRINALDI</t>
  </si>
  <si>
    <t>EM.0009</t>
  </si>
  <si>
    <t>30 JULI 2021</t>
  </si>
  <si>
    <t>06 NOVEMBER 2021</t>
  </si>
  <si>
    <t>+- 1 Bulan, 7 Hari</t>
  </si>
  <si>
    <t>NOP</t>
  </si>
  <si>
    <t>25 APRIL 2022</t>
  </si>
  <si>
    <t>18 MEI 2022</t>
  </si>
  <si>
    <t>08 JUNI 2022</t>
  </si>
  <si>
    <t>SUSANTO WIJI</t>
  </si>
  <si>
    <t>11 JUNI 2022</t>
  </si>
  <si>
    <t>DES</t>
  </si>
  <si>
    <t>12 JANUARI 2023</t>
  </si>
  <si>
    <t>05 September 2023</t>
  </si>
  <si>
    <t>08 September 2023</t>
  </si>
  <si>
    <t>26 September 2023</t>
  </si>
  <si>
    <t>CV. Sinar Mandiri Elektrik</t>
  </si>
  <si>
    <t>EM.0010</t>
  </si>
  <si>
    <t>5.5</t>
  </si>
  <si>
    <t>28 SEPTEMBER 2021</t>
  </si>
  <si>
    <t>+- 4 Bulan</t>
  </si>
  <si>
    <t>09 MARET 2022</t>
  </si>
  <si>
    <t>10 MARET 2022</t>
  </si>
  <si>
    <t>05 APRIL 2022</t>
  </si>
  <si>
    <t>PT. SURYA ELECTRO SERVICE - MEDAN</t>
  </si>
  <si>
    <t>EM.0011</t>
  </si>
  <si>
    <t>07 SEPTEMBER 2021</t>
  </si>
  <si>
    <t>27 MARET 2022</t>
  </si>
  <si>
    <t>+- 1 Hari</t>
  </si>
  <si>
    <t>9 APRIL 2022</t>
  </si>
  <si>
    <t>19 APRIL 2022</t>
  </si>
  <si>
    <t>20 APRIL 2022</t>
  </si>
  <si>
    <t xml:space="preserve">+- 3 Bulan </t>
  </si>
  <si>
    <t>14 JULI 2022</t>
  </si>
  <si>
    <t>Tidak di repair, body motor sudah retak</t>
  </si>
  <si>
    <t>EM.0012</t>
  </si>
  <si>
    <t>23 SEPTEMBER 2021</t>
  </si>
  <si>
    <t>+- 28 HARI</t>
  </si>
  <si>
    <t>23 DESEMBER 2021</t>
  </si>
  <si>
    <t>22 JANUARI 2022</t>
  </si>
  <si>
    <t>14 FEBRUARI 2022</t>
  </si>
  <si>
    <t>-</t>
  </si>
  <si>
    <t>16 DESEMBER 2022</t>
  </si>
  <si>
    <t>13 JANUARI 2023</t>
  </si>
  <si>
    <t>04 Oktober 2023</t>
  </si>
  <si>
    <t>12 Oktober 2023</t>
  </si>
  <si>
    <t>EM.0013</t>
  </si>
  <si>
    <t>22 SEPTEMBER 2021</t>
  </si>
  <si>
    <t>EM.0014</t>
  </si>
  <si>
    <t>Gerinda Duduk</t>
  </si>
  <si>
    <t>EM.0015</t>
  </si>
  <si>
    <t>EM.0016</t>
  </si>
  <si>
    <t>26 JUNI 2021</t>
  </si>
  <si>
    <t>03 JULI 2021</t>
  </si>
  <si>
    <t>EM.0017</t>
  </si>
  <si>
    <t>25 SEPTEMBER 2021</t>
  </si>
  <si>
    <t>27 NOVEMBER 2021</t>
  </si>
  <si>
    <t>03 DESEMBER 2021</t>
  </si>
  <si>
    <t>EM.0018</t>
  </si>
  <si>
    <t>08 SEPTEMBER 2021</t>
  </si>
  <si>
    <t>01 DESEMBER 2021</t>
  </si>
  <si>
    <t>EM.0019</t>
  </si>
  <si>
    <t>10 NOVEMBER 2021</t>
  </si>
  <si>
    <t>02 DESEMBER 2021</t>
  </si>
  <si>
    <t>+- 6 Bulan</t>
  </si>
  <si>
    <t>30 MEI 2022</t>
  </si>
  <si>
    <t>03 JUNI 2022</t>
  </si>
  <si>
    <t>17 JUNI 2022</t>
  </si>
  <si>
    <t>07 JANUARI 2023</t>
  </si>
  <si>
    <t>11 JANUARI 2023</t>
  </si>
  <si>
    <t>18 JANUARI 2023</t>
  </si>
  <si>
    <t>30 November 2023</t>
  </si>
  <si>
    <t>EM.0020</t>
  </si>
  <si>
    <t>2.2</t>
  </si>
  <si>
    <t>11 NOVEMBER 2021</t>
  </si>
  <si>
    <t>27 DESEMBER 2021</t>
  </si>
  <si>
    <t xml:space="preserve">+- 4 Bulan </t>
  </si>
  <si>
    <t>07 APRIL 2022</t>
  </si>
  <si>
    <t>02 JULI 2022</t>
  </si>
  <si>
    <t>25 JULI 2022</t>
  </si>
  <si>
    <t>06 AGUSTUS 2022</t>
  </si>
  <si>
    <t>24 JULI 2023</t>
  </si>
  <si>
    <t>26 JULI 2023</t>
  </si>
  <si>
    <t>01 AGUSTUS 2023</t>
  </si>
  <si>
    <t>Retur, ampere tinggi</t>
  </si>
  <si>
    <t>EM.0021</t>
  </si>
  <si>
    <t>12 NOVEMBER 2021</t>
  </si>
  <si>
    <t>18 DESEMBER 2021</t>
  </si>
  <si>
    <t>01 JANUARI 2023</t>
  </si>
  <si>
    <t>13 FEBRUARI 2023</t>
  </si>
  <si>
    <t>EM.0022</t>
  </si>
  <si>
    <t>20 NOVEMBER 2021</t>
  </si>
  <si>
    <t>26 FEBRUARI 2022</t>
  </si>
  <si>
    <t>+- 1 Bulan</t>
  </si>
  <si>
    <t>29 APRIL 2022</t>
  </si>
  <si>
    <t>+- 16 Hari</t>
  </si>
  <si>
    <t>15 MEI 2022</t>
  </si>
  <si>
    <t>25 MEI 2022</t>
  </si>
  <si>
    <t>13 AGUSTUS 2022</t>
  </si>
  <si>
    <t>16 JANUARI 2023</t>
  </si>
  <si>
    <t>07 FEBRUARI 2023</t>
  </si>
  <si>
    <t>EM.0023</t>
  </si>
  <si>
    <t>1.5</t>
  </si>
  <si>
    <t>21 NOVEMBER 2021</t>
  </si>
  <si>
    <t>EM.0024</t>
  </si>
  <si>
    <t>24 NOVEMBER 2021</t>
  </si>
  <si>
    <t>13 DESEMBER 2021</t>
  </si>
  <si>
    <t xml:space="preserve">+- 2 Minggu </t>
  </si>
  <si>
    <t>28 DESEMBER 2021</t>
  </si>
  <si>
    <t>EM.0025</t>
  </si>
  <si>
    <t>19 SEPTEMBER 2022</t>
  </si>
  <si>
    <t>22 SEPTEMBER 2022</t>
  </si>
  <si>
    <t>28 SEPTEMBER 2022</t>
  </si>
  <si>
    <t>07 NOVEMBER 2022</t>
  </si>
  <si>
    <t>08 NOVEMBER 2022</t>
  </si>
  <si>
    <t>EM.0026</t>
  </si>
  <si>
    <t>22 NOVEMBER 2021</t>
  </si>
  <si>
    <t>29 DESEMBER 2021</t>
  </si>
  <si>
    <t>EM.0027</t>
  </si>
  <si>
    <t>29 NOVEMBER 2021</t>
  </si>
  <si>
    <t>EM.0028</t>
  </si>
  <si>
    <t>31 DESEMBER 2022</t>
  </si>
  <si>
    <t xml:space="preserve">+-8 Bulan </t>
  </si>
  <si>
    <t>07 AGUSTUS 2022</t>
  </si>
  <si>
    <t>26 SEPTEMBER 2022</t>
  </si>
  <si>
    <t>13 OKTOBER 2023</t>
  </si>
  <si>
    <t>EM.0029</t>
  </si>
  <si>
    <t>10 DESEMBER 2021</t>
  </si>
  <si>
    <t>24 FEBRUARI 2022</t>
  </si>
  <si>
    <t>23 Oktober 2023</t>
  </si>
  <si>
    <t>27 Oktober 2023</t>
  </si>
  <si>
    <t>14 November 2023</t>
  </si>
  <si>
    <t>EM.0030</t>
  </si>
  <si>
    <t>11 DESEMBER 2021</t>
  </si>
  <si>
    <t>05 JANUARI 2022</t>
  </si>
  <si>
    <t>SC FEEDING RM B</t>
  </si>
  <si>
    <t>09 JUNI 2022</t>
  </si>
  <si>
    <t>8 SEPTEMBER 2022</t>
  </si>
  <si>
    <t>29 SEPTEMBER 2022</t>
  </si>
  <si>
    <t>06 OKTOBER 2022</t>
  </si>
  <si>
    <t>23 AGUSTUS 2023</t>
  </si>
  <si>
    <t>29 AGUSTUS 2023</t>
  </si>
  <si>
    <t>EM.0031</t>
  </si>
  <si>
    <t>3.7</t>
  </si>
  <si>
    <t>19 DESEMBER 2021</t>
  </si>
  <si>
    <t>21 FEBRUARI 2022</t>
  </si>
  <si>
    <t>19 MEI 2022</t>
  </si>
  <si>
    <t>22 AGUSTUS 2022</t>
  </si>
  <si>
    <t>Ampere Tinggi (Repair Garansi Supplier)</t>
  </si>
  <si>
    <t>+-2 Hari umur elmot setelah garansi</t>
  </si>
  <si>
    <t>24 AGUSTUS 2022</t>
  </si>
  <si>
    <t>02 FEBRUARI 2023</t>
  </si>
  <si>
    <t>16 FEBRUARI 2023</t>
  </si>
  <si>
    <t>04 OKTOBER 2023</t>
  </si>
  <si>
    <t>12 OKTOBER 2023</t>
  </si>
  <si>
    <t>EM.0032</t>
  </si>
  <si>
    <t>06 JANUARI 2022</t>
  </si>
  <si>
    <t>12 JANUARI 2022</t>
  </si>
  <si>
    <t>Agitator Melter AP</t>
  </si>
  <si>
    <t>EM.0033</t>
  </si>
  <si>
    <t>Dinamo Cas Forklift</t>
  </si>
  <si>
    <t>EM.0034</t>
  </si>
  <si>
    <t>13 AGUSTUS 2021</t>
  </si>
  <si>
    <t>09 FEBRUARI 2022</t>
  </si>
  <si>
    <t xml:space="preserve">+-4 Bulan </t>
  </si>
  <si>
    <t>16 JUNI 2022</t>
  </si>
  <si>
    <t>02 SEPTEMBER 2022</t>
  </si>
  <si>
    <t>14 NOVEMBER 2022</t>
  </si>
  <si>
    <t>Shot body, ( Bergaransi)</t>
  </si>
  <si>
    <t>17 NOVEMBER 2022</t>
  </si>
  <si>
    <t>9 DESEMBER 2022</t>
  </si>
  <si>
    <t>26 JANUARI 2023</t>
  </si>
  <si>
    <t>EM.0036</t>
  </si>
  <si>
    <t>24 DESEMBER 2021</t>
  </si>
  <si>
    <t>18 DESEMBER 2022</t>
  </si>
  <si>
    <t>REMAKS (NOTE)</t>
  </si>
  <si>
    <t>EM.0037</t>
  </si>
  <si>
    <t>EM.0038</t>
  </si>
  <si>
    <t>07 DESEMBER 2022</t>
  </si>
  <si>
    <t>EM.0039</t>
  </si>
  <si>
    <t>02 JANUARI 2022</t>
  </si>
  <si>
    <t>05 DESEMBER 2022</t>
  </si>
  <si>
    <t>25 AGUSTUS 2023</t>
  </si>
  <si>
    <t>31 AGUSTUS 2023</t>
  </si>
  <si>
    <t>08 AGUSTUS 2023</t>
  </si>
  <si>
    <t>EM.0040</t>
  </si>
  <si>
    <t>ELMOT FAN</t>
  </si>
  <si>
    <t>EM.0041</t>
  </si>
  <si>
    <t>EM.0042</t>
  </si>
  <si>
    <t>15 DESEMBER 2021</t>
  </si>
  <si>
    <t>30 DESEMBER 2022</t>
  </si>
  <si>
    <t>05 DESEMBER 2023</t>
  </si>
  <si>
    <t>06 DESEMBER 2023</t>
  </si>
  <si>
    <t>20 DESEMBER 2023</t>
  </si>
  <si>
    <t>Susanto Wiji - Medan</t>
  </si>
  <si>
    <t>EM.0043</t>
  </si>
  <si>
    <t>BC 01 WP</t>
  </si>
  <si>
    <t>EM.0044</t>
  </si>
  <si>
    <t>EM.0045</t>
  </si>
  <si>
    <t>EM.0046</t>
  </si>
  <si>
    <t>18 FEBRUARI 2022</t>
  </si>
  <si>
    <t>EM.0047</t>
  </si>
  <si>
    <t>22 FEBRUARI 2022</t>
  </si>
  <si>
    <t>EM.0048</t>
  </si>
  <si>
    <t>01 FEBRUARI 2022</t>
  </si>
  <si>
    <t>EM.0049</t>
  </si>
  <si>
    <t>07 FEBRUARI 2022</t>
  </si>
  <si>
    <t>22 APRIL 2022</t>
  </si>
  <si>
    <t>23 APRIL 2022</t>
  </si>
  <si>
    <t>27 APRIL 2022</t>
  </si>
  <si>
    <t>28 APRIL 2022</t>
  </si>
  <si>
    <t>+- 2 BULAN</t>
  </si>
  <si>
    <t>01 JULI 2022</t>
  </si>
  <si>
    <t>10 JANUARI 2023</t>
  </si>
  <si>
    <t>EM.0050</t>
  </si>
  <si>
    <t>EM.0051</t>
  </si>
  <si>
    <t>3.7 / 3</t>
  </si>
  <si>
    <t>20 FEBRUARI 2022</t>
  </si>
  <si>
    <t>06 APRIL 2022</t>
  </si>
  <si>
    <t xml:space="preserve">+-3 Bulan </t>
  </si>
  <si>
    <t>16 JULI 2022</t>
  </si>
  <si>
    <t>EM.0052</t>
  </si>
  <si>
    <t>2 SEPTEMBER 2022</t>
  </si>
  <si>
    <t>EM.0053</t>
  </si>
  <si>
    <t>19 MARET 2022</t>
  </si>
  <si>
    <t>29 MARET 2022</t>
  </si>
  <si>
    <t>Pompa Celup Limbah</t>
  </si>
  <si>
    <t>EM.0054</t>
  </si>
  <si>
    <t>12 MARET 2022</t>
  </si>
  <si>
    <t>EM.0055</t>
  </si>
  <si>
    <t>17 MARET 2022</t>
  </si>
  <si>
    <t xml:space="preserve">    </t>
  </si>
  <si>
    <t>31 JULI 2023</t>
  </si>
  <si>
    <t>02 AGUSTUS 2023</t>
  </si>
  <si>
    <t>EM.0056</t>
  </si>
  <si>
    <t>EM.0057</t>
  </si>
  <si>
    <t>26 MARET 2022</t>
  </si>
  <si>
    <t>EM.0058</t>
  </si>
  <si>
    <t>04 APRIL 2022</t>
  </si>
  <si>
    <t>EM.0059</t>
  </si>
  <si>
    <t>11 MEI 2022</t>
  </si>
  <si>
    <t>EM.0060</t>
  </si>
  <si>
    <t>Ampere Tinggi (Retur)</t>
  </si>
  <si>
    <t>EM.0061</t>
  </si>
  <si>
    <t>0.5 (Pompa Celup)</t>
  </si>
  <si>
    <t>EM.0062</t>
  </si>
  <si>
    <t>1.5, 220v, 7.5Mpa (Jet pump)</t>
  </si>
  <si>
    <t>08 JUNI 2022                   (Tidak diRepair)</t>
  </si>
  <si>
    <t>EM.0063</t>
  </si>
  <si>
    <t>12 APRIL 2022</t>
  </si>
  <si>
    <t>09 JUNI 2022                   (Tidak diRepair)</t>
  </si>
  <si>
    <t>Barang yang dikembalikan tidak sesuai / BEDA</t>
  </si>
  <si>
    <t>EM.0064</t>
  </si>
  <si>
    <t xml:space="preserve">09 JUNI 2022                  </t>
  </si>
  <si>
    <t>05 JANUARI 2023</t>
  </si>
  <si>
    <t>EM.0065</t>
  </si>
  <si>
    <t>1.1</t>
  </si>
  <si>
    <t>24 MEI 2022</t>
  </si>
  <si>
    <t>12 OKTOBER 2022</t>
  </si>
  <si>
    <t>13 OKTOBER 2022</t>
  </si>
  <si>
    <t>EM.0066</t>
  </si>
  <si>
    <t>EM.0067</t>
  </si>
  <si>
    <t>Compressor Baby (Belakang)</t>
  </si>
  <si>
    <t>EM.0068</t>
  </si>
  <si>
    <t>10 JUNI 2022</t>
  </si>
  <si>
    <t>13 JUNI 2022</t>
  </si>
  <si>
    <t>18 JUNI 2022</t>
  </si>
  <si>
    <t>EM.0069</t>
  </si>
  <si>
    <t>Motor Fan Outdoor AC</t>
  </si>
  <si>
    <t>20 JULI 2022</t>
  </si>
  <si>
    <t>21 JULI 2022</t>
  </si>
  <si>
    <t>EM.0070</t>
  </si>
  <si>
    <t>Tidak Jadi Repair : Barang sudah rusak parah</t>
  </si>
  <si>
    <t>EM.0071</t>
  </si>
  <si>
    <t>05 AGUSTUS 2022</t>
  </si>
  <si>
    <t>Scrubber Acid Plant</t>
  </si>
  <si>
    <t>EM.0072</t>
  </si>
  <si>
    <t>02 AGUSTUS 2022</t>
  </si>
  <si>
    <t>08 JANUARI 2023</t>
  </si>
  <si>
    <t>EM.0073</t>
  </si>
  <si>
    <t>2.2 / 3</t>
  </si>
  <si>
    <t>04 AGUSTUS 2022</t>
  </si>
  <si>
    <t>Barang yang dikembalikan Amper tinggi</t>
  </si>
  <si>
    <t>14 SEPTEMBER 2022</t>
  </si>
  <si>
    <t>AMPER TINGGI ? SUDAH 3X RWND</t>
  </si>
  <si>
    <t>EM.0074</t>
  </si>
  <si>
    <t>EM.0075</t>
  </si>
  <si>
    <t>16 AGUSTUS 2022</t>
  </si>
  <si>
    <t>31 AGUSTUS 2022</t>
  </si>
  <si>
    <t>27 DESEMBER 2022</t>
  </si>
  <si>
    <t>EM.0076</t>
  </si>
  <si>
    <t>23 AGUSTUS 2022</t>
  </si>
  <si>
    <t>EM.0077</t>
  </si>
  <si>
    <t>EM.0078</t>
  </si>
  <si>
    <t>26 AGUSTUS 2022</t>
  </si>
  <si>
    <t>11 NOVEMBER 2022</t>
  </si>
  <si>
    <t>18 NOVEMBER 2022</t>
  </si>
  <si>
    <t>09 DESEMBER 2022</t>
  </si>
  <si>
    <t>SURYA ELECTRO</t>
  </si>
  <si>
    <t>EM.0079</t>
  </si>
  <si>
    <t>EM.0080</t>
  </si>
  <si>
    <t>01 SEPTEMBER 2022</t>
  </si>
  <si>
    <t>EM.0081</t>
  </si>
  <si>
    <t>EM.0082</t>
  </si>
  <si>
    <t>09 SEPTEMBER 2022</t>
  </si>
  <si>
    <t>EM.0083</t>
  </si>
  <si>
    <t>20 SEPTEMBER 2022</t>
  </si>
  <si>
    <t>12 DESEMBER 2022</t>
  </si>
  <si>
    <t>31 JANUARI 2023</t>
  </si>
  <si>
    <t>EM.0084</t>
  </si>
  <si>
    <t>EM.0085</t>
  </si>
  <si>
    <t>Berangkat tanpa rotor</t>
  </si>
  <si>
    <t>24 JANUARI 2023</t>
  </si>
  <si>
    <t>EM.0086</t>
  </si>
  <si>
    <t>EM.0087</t>
  </si>
  <si>
    <t>EM.0088</t>
  </si>
  <si>
    <t>EM.0089</t>
  </si>
  <si>
    <t>01 OKTOBER 2022</t>
  </si>
  <si>
    <t>20 OKTOBER 2022</t>
  </si>
  <si>
    <t>EM.0090</t>
  </si>
  <si>
    <t>11 OKTOBER 2022</t>
  </si>
  <si>
    <t>EM.0091</t>
  </si>
  <si>
    <t>Hammer GB A</t>
  </si>
  <si>
    <t>EM.0092</t>
  </si>
  <si>
    <t>15 OKTOBER 2022</t>
  </si>
  <si>
    <t>13 DESEMBER 2022</t>
  </si>
  <si>
    <t>EM.0093</t>
  </si>
  <si>
    <t>NOTE</t>
  </si>
  <si>
    <t>EM.0094</t>
  </si>
  <si>
    <t>EM.0095</t>
  </si>
  <si>
    <t>28 OKTOBER 2022</t>
  </si>
  <si>
    <t>EM.0096</t>
  </si>
  <si>
    <t>04 NOVEMBER 2022</t>
  </si>
  <si>
    <t>EM.0097</t>
  </si>
  <si>
    <t>EM.0098</t>
  </si>
  <si>
    <t>09 NOVEMBER 2022</t>
  </si>
  <si>
    <t>EM.0099</t>
  </si>
  <si>
    <t>EM.0100</t>
  </si>
  <si>
    <t>EM.0101</t>
  </si>
  <si>
    <t>15 NOVEMBER 2022</t>
  </si>
  <si>
    <t>8 DESEMBER 2022</t>
  </si>
  <si>
    <t>EM.0102</t>
  </si>
  <si>
    <t>19 NOVEMBER 2022</t>
  </si>
  <si>
    <t>1 Maret 2024</t>
  </si>
  <si>
    <t>EM.0103</t>
  </si>
  <si>
    <t>06 DESEMBER 2022</t>
  </si>
  <si>
    <t>EM.0104</t>
  </si>
  <si>
    <t>EM.0105</t>
  </si>
  <si>
    <t>EM.0106</t>
  </si>
  <si>
    <t>17 JANUARI 2023</t>
  </si>
  <si>
    <t>BC WP B</t>
  </si>
  <si>
    <t>EM.0107</t>
  </si>
  <si>
    <t>23 JANUARI 2023</t>
  </si>
  <si>
    <t>EM.0108</t>
  </si>
  <si>
    <t>EM.0109</t>
  </si>
  <si>
    <t>08 FEBRUARI 2023</t>
  </si>
  <si>
    <t>EM.0110</t>
  </si>
  <si>
    <t>0.55</t>
  </si>
  <si>
    <t>10 FEBRUARI 2023</t>
  </si>
  <si>
    <t>05 Desember 2023</t>
  </si>
  <si>
    <t>06 Desember 2023</t>
  </si>
  <si>
    <t>EM.0111</t>
  </si>
  <si>
    <t>EM.0112</t>
  </si>
  <si>
    <t>17 FEBRUARI 2023</t>
  </si>
  <si>
    <t>EM.0113</t>
  </si>
  <si>
    <t>EM.0114</t>
  </si>
  <si>
    <t>20 FEBRUARI 2023</t>
  </si>
  <si>
    <t>EM.0115</t>
  </si>
  <si>
    <t>26 JUNI 2023</t>
  </si>
  <si>
    <t>03 JULI 2023</t>
  </si>
  <si>
    <t>15 AGUSTUS 2023</t>
  </si>
  <si>
    <t>EM.0116</t>
  </si>
  <si>
    <t>EM.0117</t>
  </si>
  <si>
    <t>EM.0118</t>
  </si>
  <si>
    <t>17 November 2023</t>
  </si>
  <si>
    <t>24 November 2023</t>
  </si>
  <si>
    <t>EM.0119</t>
  </si>
  <si>
    <t>0.5</t>
  </si>
  <si>
    <t>EM.0120</t>
  </si>
  <si>
    <t>17 JULI 2023</t>
  </si>
  <si>
    <t>23 JULI 2023</t>
  </si>
  <si>
    <t>EM.0121</t>
  </si>
  <si>
    <t>BC 01 GB</t>
  </si>
  <si>
    <t>EM.0122</t>
  </si>
  <si>
    <t>Compressor Baby</t>
  </si>
  <si>
    <t>EM.0123</t>
  </si>
  <si>
    <t>EM.0124</t>
  </si>
  <si>
    <t>Timbangan bag 20 kg</t>
  </si>
  <si>
    <t>EM.0125</t>
  </si>
  <si>
    <t>Pompa feeding WP 04</t>
  </si>
  <si>
    <t>EM.0126</t>
  </si>
  <si>
    <t>EM.0127</t>
  </si>
  <si>
    <t>EM.0128</t>
  </si>
  <si>
    <t>0.75</t>
  </si>
  <si>
    <t>14 AGUSTUS 2023</t>
  </si>
  <si>
    <t>18 AGUSTUS 2023</t>
  </si>
  <si>
    <t>EM.0129</t>
  </si>
  <si>
    <t>EM.0130</t>
  </si>
  <si>
    <t>EM.0131</t>
  </si>
  <si>
    <t>EM.0132</t>
  </si>
  <si>
    <t>EM.0133</t>
  </si>
  <si>
    <t>EM.0134</t>
  </si>
  <si>
    <t>35 Watt</t>
  </si>
  <si>
    <t>EM.0135</t>
  </si>
  <si>
    <t>EM.0136</t>
  </si>
  <si>
    <t>EM.0137</t>
  </si>
  <si>
    <t>18.5</t>
  </si>
  <si>
    <t>EM.0138</t>
  </si>
  <si>
    <t>EM.0139</t>
  </si>
  <si>
    <t>Retur, Ampere Tinggi</t>
  </si>
  <si>
    <t>EM.0140</t>
  </si>
  <si>
    <t>EM.0141</t>
  </si>
  <si>
    <t>18 September 2023</t>
  </si>
  <si>
    <t>Belum Berangkat</t>
  </si>
  <si>
    <t>EM.0142</t>
  </si>
  <si>
    <t>EM.0143</t>
  </si>
  <si>
    <t>EM.0144</t>
  </si>
  <si>
    <t>EM.0145</t>
  </si>
  <si>
    <t>EM.0146</t>
  </si>
  <si>
    <t>EM.0147</t>
  </si>
  <si>
    <t>EM.0148</t>
  </si>
  <si>
    <t>30 Oktober 2023</t>
  </si>
  <si>
    <t>31 Oktober 2023</t>
  </si>
  <si>
    <t>Afrinaldi</t>
  </si>
  <si>
    <t>EM.0149</t>
  </si>
  <si>
    <t>EM.0150</t>
  </si>
  <si>
    <t>52 Watt</t>
  </si>
  <si>
    <t>Tidak bisa direwinding, kawat terlalu halus</t>
  </si>
  <si>
    <t>EM.0151</t>
  </si>
  <si>
    <t>EM.0152</t>
  </si>
  <si>
    <t>EM.0153</t>
  </si>
  <si>
    <t>EM.0154</t>
  </si>
  <si>
    <t>EM.0155</t>
  </si>
  <si>
    <t>EM.0156</t>
  </si>
  <si>
    <t>EM.0157</t>
  </si>
  <si>
    <t>EM.0158</t>
  </si>
  <si>
    <t>Afrinaldi - Dumai</t>
  </si>
  <si>
    <t>EM.0159</t>
  </si>
  <si>
    <t>EM.0160</t>
  </si>
  <si>
    <t>EM.0161</t>
  </si>
  <si>
    <t>0.50</t>
  </si>
  <si>
    <t>EM.0162</t>
  </si>
  <si>
    <t>EM.0163</t>
  </si>
  <si>
    <t>EM.0164</t>
  </si>
  <si>
    <t>EM.0165</t>
  </si>
  <si>
    <t>EM.0166</t>
  </si>
  <si>
    <t>EM.0167</t>
  </si>
  <si>
    <t>Delution Acid Plant</t>
  </si>
  <si>
    <t>EM.0168</t>
  </si>
  <si>
    <t>EM.0169</t>
  </si>
  <si>
    <t>EM.0170</t>
  </si>
  <si>
    <t>EM.0171</t>
  </si>
  <si>
    <t>EM.0172</t>
  </si>
  <si>
    <t>Agitator Precoat Acid</t>
  </si>
  <si>
    <t>EM.0173</t>
  </si>
  <si>
    <t>DC Rotary QGS A1</t>
  </si>
  <si>
    <t>EM.0174</t>
  </si>
  <si>
    <t>Vibrating Finishing A</t>
  </si>
  <si>
    <t>EM.0175</t>
  </si>
  <si>
    <t>SC Feeding RM C</t>
  </si>
  <si>
    <t>EM.0176</t>
  </si>
  <si>
    <t>Rotary DC QGS A2</t>
  </si>
  <si>
    <t>EM.0177</t>
  </si>
  <si>
    <t>BC 04 WP</t>
  </si>
  <si>
    <t>EM.0178</t>
  </si>
  <si>
    <t>BC 03 WP</t>
  </si>
  <si>
    <t>EM.0179</t>
  </si>
  <si>
    <t>EM.0180</t>
  </si>
  <si>
    <t>Ampere tinggi, retur</t>
  </si>
  <si>
    <t>EM.0181</t>
  </si>
  <si>
    <t>Bin Cake WP</t>
  </si>
  <si>
    <t>EM.0182</t>
  </si>
  <si>
    <t>BC Horizontal QGS A2</t>
  </si>
  <si>
    <t>EM.0183</t>
  </si>
  <si>
    <t>Hoist Crane Finishing A</t>
  </si>
  <si>
    <t>EM.0184</t>
  </si>
  <si>
    <t>Rotary Bagging Finishing A</t>
  </si>
  <si>
    <t>EM.0185</t>
  </si>
  <si>
    <t>SC DC QGS A1</t>
  </si>
  <si>
    <t>EM.0186</t>
  </si>
  <si>
    <t>EM.0187</t>
  </si>
  <si>
    <t>EM.0188</t>
  </si>
  <si>
    <t>EM.0189</t>
  </si>
  <si>
    <t>EM.0190</t>
  </si>
  <si>
    <t>EM.0191</t>
  </si>
  <si>
    <t>EM.0192</t>
  </si>
  <si>
    <t>EM.0193</t>
  </si>
  <si>
    <t>EM.0194</t>
  </si>
  <si>
    <t>EM.0195</t>
  </si>
  <si>
    <t>EM.0196</t>
  </si>
  <si>
    <t>EM.0197</t>
  </si>
  <si>
    <r>
      <t xml:space="preserve">03 JUNI 2022 / </t>
    </r>
    <r>
      <rPr>
        <b/>
        <sz val="10"/>
        <color indexed="10"/>
        <rFont val="Segoe UI"/>
        <family val="2"/>
      </rPr>
      <t>19/8/2022</t>
    </r>
  </si>
  <si>
    <r>
      <t>+- 2 JAM</t>
    </r>
    <r>
      <rPr>
        <b/>
        <sz val="10"/>
        <color indexed="10"/>
        <rFont val="Segoe UI"/>
        <family val="2"/>
      </rPr>
      <t xml:space="preserve"> (Repair -Garansi Supplier)</t>
    </r>
  </si>
  <si>
    <t>SUPPLIER/VENDOR</t>
  </si>
  <si>
    <t>14 Oktober 2021</t>
  </si>
  <si>
    <t>29 Juli 2021</t>
  </si>
  <si>
    <t>25 Agustus 2021</t>
  </si>
  <si>
    <t>15 Oktober 2021</t>
  </si>
  <si>
    <t>03 Oktober 2021</t>
  </si>
  <si>
    <t>22 Oktober 2021</t>
  </si>
  <si>
    <t>24 Oktober 2021</t>
  </si>
  <si>
    <t>27 Juli 2021</t>
  </si>
  <si>
    <t>20 Januari 2022</t>
  </si>
  <si>
    <t>22 Juni 2019</t>
  </si>
  <si>
    <t>16 November 2021</t>
  </si>
  <si>
    <t>30 November 2021</t>
  </si>
  <si>
    <t>24 Agustus 2021</t>
  </si>
  <si>
    <t>08 Februari 2022</t>
  </si>
  <si>
    <t>29 Juni 2019</t>
  </si>
  <si>
    <t>25 November 2021</t>
  </si>
  <si>
    <t>20 Desember 2021</t>
  </si>
  <si>
    <t>Pompa feeding WP 09</t>
  </si>
  <si>
    <t>Blower DC GHM</t>
  </si>
  <si>
    <t>SC feeding RM C</t>
  </si>
  <si>
    <t>Agitator Kapur</t>
  </si>
  <si>
    <t>Agitator ATT</t>
  </si>
  <si>
    <t>SC 05 Milling</t>
  </si>
  <si>
    <t>BC WP E</t>
  </si>
  <si>
    <t>Vibrating Line A</t>
  </si>
  <si>
    <t>BC WP</t>
  </si>
  <si>
    <t>SC DC QGS A2</t>
  </si>
  <si>
    <t>Vibrating Line B</t>
  </si>
  <si>
    <t>HM A</t>
  </si>
  <si>
    <t>EM.0198</t>
  </si>
  <si>
    <t>EM.0199</t>
  </si>
  <si>
    <t>EM.0200</t>
  </si>
  <si>
    <t>DC QGS A2</t>
  </si>
  <si>
    <t>Jet Pump</t>
  </si>
  <si>
    <t>BE 02 Milling</t>
  </si>
  <si>
    <t>Gudang Bag</t>
  </si>
  <si>
    <t>Portable Blower</t>
  </si>
  <si>
    <t>BE 07 Finishing Line A</t>
  </si>
  <si>
    <t>BE 02 Finishing Line B</t>
  </si>
  <si>
    <t>RM B</t>
  </si>
  <si>
    <t>RM A</t>
  </si>
  <si>
    <t>VIBRATING FINISHING-B</t>
  </si>
  <si>
    <t>BC 05 WP</t>
  </si>
  <si>
    <t>BC 02 WP</t>
  </si>
  <si>
    <t>DUST COLLECTOR RM C</t>
  </si>
  <si>
    <t>Blower RM A</t>
  </si>
  <si>
    <t>BC-WP C</t>
  </si>
  <si>
    <t>SC 05 Finishing B</t>
  </si>
  <si>
    <t>EM.0201</t>
  </si>
  <si>
    <t>EM.0202</t>
  </si>
  <si>
    <r>
      <t xml:space="preserve">03 JUNI 2022 / </t>
    </r>
    <r>
      <rPr>
        <b/>
        <sz val="10"/>
        <color indexed="10"/>
        <rFont val="Aptos Display"/>
        <family val="2"/>
      </rPr>
      <t>19/8/2022</t>
    </r>
  </si>
  <si>
    <r>
      <t>+- 2 JAM</t>
    </r>
    <r>
      <rPr>
        <b/>
        <sz val="10"/>
        <color indexed="10"/>
        <rFont val="Aptos Display"/>
        <family val="2"/>
      </rPr>
      <t xml:space="preserve"> (Repair -Garansi Supplier)</t>
    </r>
  </si>
  <si>
    <t>Complete</t>
  </si>
  <si>
    <t>Waiting</t>
  </si>
  <si>
    <t>Cv. Surya Electro Service - Medan</t>
  </si>
  <si>
    <t>EM.0203</t>
  </si>
  <si>
    <t>EM.0204</t>
  </si>
  <si>
    <t>EM.0205</t>
  </si>
  <si>
    <t>EM.0206</t>
  </si>
  <si>
    <t>EM.0207</t>
  </si>
  <si>
    <t>EM.0208</t>
  </si>
  <si>
    <t>EM.0209</t>
  </si>
  <si>
    <t>EM.0210</t>
  </si>
  <si>
    <t>EM.0211</t>
  </si>
  <si>
    <t>EM.0212</t>
  </si>
  <si>
    <t>EM.0213</t>
  </si>
  <si>
    <t>EM.0214</t>
  </si>
  <si>
    <t>EM.0215</t>
  </si>
  <si>
    <t>EM.0216</t>
  </si>
  <si>
    <t>EM.0217</t>
  </si>
  <si>
    <t>EM.0218</t>
  </si>
  <si>
    <t>EM.0219</t>
  </si>
  <si>
    <t>EM.0220</t>
  </si>
  <si>
    <t>EM.0221</t>
  </si>
  <si>
    <t>EM.0222</t>
  </si>
  <si>
    <t>EM.0223</t>
  </si>
  <si>
    <t>EM.0224</t>
  </si>
  <si>
    <t>EM.0225</t>
  </si>
  <si>
    <t>EM.0226</t>
  </si>
  <si>
    <t>EM.0227</t>
  </si>
  <si>
    <t>EM.0228</t>
  </si>
  <si>
    <t>EM.0229</t>
  </si>
  <si>
    <t>EM.0230</t>
  </si>
  <si>
    <t>EM.0231</t>
  </si>
  <si>
    <t>EM.0232</t>
  </si>
  <si>
    <t>EM.0233</t>
  </si>
  <si>
    <t>EM.0234</t>
  </si>
  <si>
    <t>EM.0235</t>
  </si>
  <si>
    <t>EM.0236</t>
  </si>
  <si>
    <t>EM.0237</t>
  </si>
  <si>
    <t>EM.0238</t>
  </si>
  <si>
    <t>EM.0239</t>
  </si>
  <si>
    <t>EM.0240</t>
  </si>
  <si>
    <t>EM.0241</t>
  </si>
  <si>
    <t>EM.0242</t>
  </si>
  <si>
    <t>EM.0243</t>
  </si>
  <si>
    <t>EM.0244</t>
  </si>
  <si>
    <t>EM.0245</t>
  </si>
  <si>
    <t>EM.0246</t>
  </si>
  <si>
    <t>EM.0247</t>
  </si>
  <si>
    <t>EM.0248</t>
  </si>
  <si>
    <t>EM.0249</t>
  </si>
  <si>
    <t>EM.0250</t>
  </si>
  <si>
    <t xml:space="preserve"> </t>
  </si>
  <si>
    <t>Sc 03 Milling</t>
  </si>
  <si>
    <t>Bc 01 Milling</t>
  </si>
  <si>
    <t>Rm C</t>
  </si>
  <si>
    <t>Sc Feeding Rm A</t>
  </si>
  <si>
    <t>Sc 04 Milling</t>
  </si>
  <si>
    <t>Bc 03 Milling</t>
  </si>
  <si>
    <t>Bc 03 Dryer</t>
  </si>
  <si>
    <t>Hm A</t>
  </si>
  <si>
    <t>Agitator Precoat Acid Plant</t>
  </si>
  <si>
    <t>Bc 02 Finishing Line A</t>
  </si>
  <si>
    <r>
      <t>&gt;=</t>
    </r>
    <r>
      <rPr>
        <b/>
        <sz val="12.85"/>
        <color theme="1"/>
        <rFont val="Calibri Light"/>
        <family val="2"/>
      </rPr>
      <t xml:space="preserve"> </t>
    </r>
    <r>
      <rPr>
        <b/>
        <sz val="11"/>
        <color theme="1"/>
        <rFont val="Calibri Light"/>
        <family val="2"/>
        <scheme val="major"/>
      </rPr>
      <t>3X Rewinding</t>
    </r>
  </si>
  <si>
    <t>Fan Blower Workshop</t>
  </si>
  <si>
    <t>Sc 01 Milling</t>
  </si>
  <si>
    <t>Bc 03 Finishing Line B</t>
  </si>
  <si>
    <t>Sc 06 Finishing B</t>
  </si>
  <si>
    <t>Sc Feeding Rm B</t>
  </si>
  <si>
    <t>Blower Rm A</t>
  </si>
  <si>
    <t>Rotary Cyclone Dryer</t>
  </si>
  <si>
    <t>Compressor New RO</t>
  </si>
  <si>
    <t>Compressor Gudang Bag</t>
  </si>
  <si>
    <t>Bc Wp C</t>
  </si>
  <si>
    <t>BE 01 Milling</t>
  </si>
  <si>
    <t>Be 02 Finishing A</t>
  </si>
  <si>
    <t>HISTORY REWINDING ELECTRO MOTOR</t>
  </si>
  <si>
    <t>Condensate Pump Acid Plant</t>
  </si>
  <si>
    <t>Rm B Milling</t>
  </si>
  <si>
    <t>Qgs A1 &amp; A2</t>
  </si>
  <si>
    <t>Baging 25 Kg</t>
  </si>
  <si>
    <t>Tidak bisa direpair, dikembalikan</t>
  </si>
  <si>
    <t xml:space="preserve">1.5 </t>
  </si>
  <si>
    <t>Rotary DC QGS A1</t>
  </si>
  <si>
    <t>BE 03 milling</t>
  </si>
  <si>
    <t>SUDAH 4 X</t>
  </si>
  <si>
    <t>Blower RM B</t>
  </si>
  <si>
    <t>RM C</t>
  </si>
  <si>
    <t>SC 04 Milling</t>
  </si>
  <si>
    <t>450 watt</t>
  </si>
  <si>
    <t>BE 03 Finishing</t>
  </si>
  <si>
    <t>BC 12 Dryer</t>
  </si>
  <si>
    <t>Bucket Drayer</t>
  </si>
  <si>
    <t xml:space="preserve">Dinamo Stater FK </t>
  </si>
  <si>
    <t>Heavy Equipment</t>
  </si>
  <si>
    <t>Tools</t>
  </si>
  <si>
    <t>B.C 06 WP</t>
  </si>
  <si>
    <t>BC 03</t>
  </si>
  <si>
    <t>B.C 03 W.P</t>
  </si>
  <si>
    <t>Rotary DC A1 QGS</t>
  </si>
  <si>
    <t>Agitator precoat</t>
  </si>
  <si>
    <t>Blower DC RM C</t>
  </si>
  <si>
    <t>B.E 03 Finishing A</t>
  </si>
  <si>
    <t>Fan Blower Compresor A</t>
  </si>
  <si>
    <t>Pompa chemical Acid Plant</t>
  </si>
  <si>
    <t>S.C 07 Finishing A</t>
  </si>
  <si>
    <t>Dinamo cas FK</t>
  </si>
  <si>
    <t>EM.0251</t>
  </si>
  <si>
    <t>EM.0252</t>
  </si>
  <si>
    <t>Scruber acid plant A</t>
  </si>
  <si>
    <t>DC QGS A1</t>
  </si>
  <si>
    <t>BC 06 WP</t>
  </si>
  <si>
    <t>SC 03 QGS</t>
  </si>
  <si>
    <t>SC 02</t>
  </si>
  <si>
    <t>Finishing line A</t>
  </si>
  <si>
    <t>EM.0253</t>
  </si>
  <si>
    <t>EM.0254</t>
  </si>
  <si>
    <t>EM.0255</t>
  </si>
  <si>
    <t>EM.0256</t>
  </si>
  <si>
    <t>EM.0257</t>
  </si>
  <si>
    <t>EM.0258</t>
  </si>
  <si>
    <t>EM.0259</t>
  </si>
  <si>
    <t>BE.01 Milling</t>
  </si>
  <si>
    <t>Transfer Kapur</t>
  </si>
  <si>
    <t>Pompa Pit B</t>
  </si>
  <si>
    <t>Blower RM</t>
  </si>
  <si>
    <t>H.E</t>
  </si>
  <si>
    <t>Dinamo cas Fk</t>
  </si>
  <si>
    <t>Rotary Transfer 01 Milling</t>
  </si>
  <si>
    <t>EM.0260</t>
  </si>
  <si>
    <t>EM.0261</t>
  </si>
  <si>
    <t>Acid plant</t>
  </si>
  <si>
    <t>BE 03 Finishing Line A</t>
  </si>
  <si>
    <t>EM.0262</t>
  </si>
  <si>
    <t>EM.0263</t>
  </si>
  <si>
    <t>EM.0264</t>
  </si>
  <si>
    <t>EM.0265</t>
  </si>
  <si>
    <t>EM.0266</t>
  </si>
  <si>
    <t>EM.0267</t>
  </si>
  <si>
    <t>EM.0268</t>
  </si>
  <si>
    <t>EM.0269</t>
  </si>
  <si>
    <t>EM.0270</t>
  </si>
  <si>
    <t>EM.0271</t>
  </si>
  <si>
    <t>EM.0272</t>
  </si>
  <si>
    <t>EM.0273</t>
  </si>
  <si>
    <t>EM.0274</t>
  </si>
  <si>
    <t>EM.0275</t>
  </si>
  <si>
    <t>EM.0276</t>
  </si>
  <si>
    <t>EM.0277</t>
  </si>
  <si>
    <t>EM.0278</t>
  </si>
  <si>
    <t>EM.0279</t>
  </si>
  <si>
    <t>EM.0280</t>
  </si>
  <si>
    <t>EM.0281</t>
  </si>
  <si>
    <t>EM.0282</t>
  </si>
  <si>
    <t>EM.0283</t>
  </si>
  <si>
    <t>EM.0284</t>
  </si>
  <si>
    <t>EM.0285</t>
  </si>
  <si>
    <t>EM.0286</t>
  </si>
  <si>
    <t>EM.0287</t>
  </si>
  <si>
    <t>EM.0288</t>
  </si>
  <si>
    <t>EM.0289</t>
  </si>
  <si>
    <t>EM.0290</t>
  </si>
  <si>
    <t>EM.0291</t>
  </si>
  <si>
    <t>EM.0292</t>
  </si>
  <si>
    <t>EM.0293</t>
  </si>
  <si>
    <t>EM.0294</t>
  </si>
  <si>
    <t>EM.0295</t>
  </si>
  <si>
    <t>EM.0296</t>
  </si>
  <si>
    <t>EM.0297</t>
  </si>
  <si>
    <t>EM.0298</t>
  </si>
  <si>
    <t>EM.0299</t>
  </si>
  <si>
    <t>EM.0300</t>
  </si>
  <si>
    <t>EM.0301</t>
  </si>
  <si>
    <t>EM.0302</t>
  </si>
  <si>
    <t>EM.0303</t>
  </si>
  <si>
    <t>EM.0304</t>
  </si>
  <si>
    <t>EM.0305</t>
  </si>
  <si>
    <t>EM.0306</t>
  </si>
  <si>
    <t>EM.0307</t>
  </si>
  <si>
    <t>EM.0308</t>
  </si>
  <si>
    <t>EM.0309</t>
  </si>
  <si>
    <t>EM.0310</t>
  </si>
  <si>
    <t>EM.0311</t>
  </si>
  <si>
    <t>EM.0312</t>
  </si>
  <si>
    <t>EM.0313</t>
  </si>
  <si>
    <t>EM.0314</t>
  </si>
  <si>
    <t>EM.0315</t>
  </si>
  <si>
    <t>EM.0316</t>
  </si>
  <si>
    <t>EM.0317</t>
  </si>
  <si>
    <t>EM.0318</t>
  </si>
  <si>
    <t>EM.0319</t>
  </si>
  <si>
    <t>EM.0320</t>
  </si>
  <si>
    <t>EM.0321</t>
  </si>
  <si>
    <t>DINAMO CAS WL</t>
  </si>
  <si>
    <t>DINAMO STATER WL</t>
  </si>
  <si>
    <t>ACID PRESS FEEDING A</t>
  </si>
  <si>
    <t>BC 01 MILLING</t>
  </si>
  <si>
    <t>motoran baru ELD01478 (pasang 30/06/2025)</t>
  </si>
  <si>
    <t>WASHING 02 WP</t>
  </si>
  <si>
    <t>EM.0322</t>
  </si>
  <si>
    <t>EM.0323</t>
  </si>
  <si>
    <t>EM.0324</t>
  </si>
  <si>
    <t>EM.0325</t>
  </si>
  <si>
    <t>EM.0326</t>
  </si>
  <si>
    <t>EM.0327</t>
  </si>
  <si>
    <t>EM.0328</t>
  </si>
  <si>
    <t>EM.0329</t>
  </si>
  <si>
    <t>EM.0330</t>
  </si>
  <si>
    <t>EM.0331</t>
  </si>
  <si>
    <t>EM.0332</t>
  </si>
  <si>
    <t>EM.0333</t>
  </si>
  <si>
    <t>EM.0334</t>
  </si>
  <si>
    <t>EM.0335</t>
  </si>
  <si>
    <t>EM.0336</t>
  </si>
  <si>
    <t>EM.0337</t>
  </si>
  <si>
    <t>EM.0338</t>
  </si>
  <si>
    <t>EM.0339</t>
  </si>
  <si>
    <t>EM.0340</t>
  </si>
  <si>
    <t>EM.0341</t>
  </si>
  <si>
    <t>EM.0342</t>
  </si>
  <si>
    <t>EM.0343</t>
  </si>
  <si>
    <t>EM.0344</t>
  </si>
  <si>
    <t>EM.0345</t>
  </si>
  <si>
    <t>EM.0346</t>
  </si>
  <si>
    <t>EM.0347</t>
  </si>
  <si>
    <t>EM.0348</t>
  </si>
  <si>
    <t>EM.0349</t>
  </si>
  <si>
    <t>EM.0350</t>
  </si>
  <si>
    <t>EM.0351</t>
  </si>
  <si>
    <t>EM.0352</t>
  </si>
  <si>
    <t>EM.0353</t>
  </si>
  <si>
    <t>EM.0354</t>
  </si>
  <si>
    <t>EM.0355</t>
  </si>
  <si>
    <t>EM.0356</t>
  </si>
  <si>
    <t>EM.0357</t>
  </si>
  <si>
    <t>EM.0358</t>
  </si>
  <si>
    <t>EM.0359</t>
  </si>
  <si>
    <t>EM.0360</t>
  </si>
  <si>
    <t>EM.0361</t>
  </si>
  <si>
    <t>EM.0362</t>
  </si>
  <si>
    <t>EM.0363</t>
  </si>
  <si>
    <t>EM.0364</t>
  </si>
  <si>
    <t>EM.0365</t>
  </si>
  <si>
    <t>EM.0366</t>
  </si>
  <si>
    <t>EM.0367</t>
  </si>
  <si>
    <t>EM.0368</t>
  </si>
  <si>
    <t>EM.0369</t>
  </si>
  <si>
    <t>EM.0370</t>
  </si>
  <si>
    <t>EM.0371</t>
  </si>
  <si>
    <t>EM.0372</t>
  </si>
  <si>
    <t>EM.0373</t>
  </si>
  <si>
    <t>EM.0374</t>
  </si>
  <si>
    <t>EM.0375</t>
  </si>
  <si>
    <t>EM.0376</t>
  </si>
  <si>
    <t>EM.0377</t>
  </si>
  <si>
    <t>EM.0378</t>
  </si>
  <si>
    <t>EM.0379</t>
  </si>
  <si>
    <t>EM.0380</t>
  </si>
  <si>
    <t>EM.0381</t>
  </si>
  <si>
    <t>DATA MOTOR BERANGKAT</t>
  </si>
  <si>
    <t xml:space="preserve">Tangga Berangkat </t>
  </si>
  <si>
    <t>Tanggal Masuk</t>
  </si>
  <si>
    <t>Section</t>
  </si>
  <si>
    <t>Elmot KW 75 RPM 1500</t>
  </si>
  <si>
    <t>Elmot KW 1,5 RPM 1500</t>
  </si>
  <si>
    <t>Elmot KW 2,2 RPM 1500</t>
  </si>
  <si>
    <t>Elmot KW 4 RPM 1500</t>
  </si>
  <si>
    <t>Elmot KW 7,5 RPM 1500</t>
  </si>
  <si>
    <t>Elmot KW 1,5 RPM 3000</t>
  </si>
  <si>
    <t>Elmot KW 15 RPM 3000</t>
  </si>
  <si>
    <t>Elmot KW 90 RPM 1500</t>
  </si>
  <si>
    <t>Elmot KW 7,5 RPM 3000 (Pompa Celup)</t>
  </si>
  <si>
    <t>Dinamo stater FK</t>
  </si>
  <si>
    <t>Elmot KW 5,5 RPM 1500</t>
  </si>
  <si>
    <t>Dinamo cas WL</t>
  </si>
  <si>
    <t xml:space="preserve">Dinamo Stater WL </t>
  </si>
  <si>
    <t>Dinamo cas Exca</t>
  </si>
  <si>
    <t>Blower 1,8 KW RPM 3000</t>
  </si>
  <si>
    <t>Slurry cruser 01</t>
  </si>
  <si>
    <t>BE 01 MILLING</t>
  </si>
  <si>
    <t>BE 05 Finishing Line A</t>
  </si>
  <si>
    <t>Rotary Transfer 01 Miling</t>
  </si>
  <si>
    <t>Acid Plant</t>
  </si>
  <si>
    <t>BC inclund QGS</t>
  </si>
  <si>
    <t>BC 06</t>
  </si>
  <si>
    <t>REPAIR TRAFO LAS 220 V</t>
  </si>
  <si>
    <t>REPAIR DINAMO CAS FK (EM.0251)</t>
  </si>
  <si>
    <t>REPAIR DINAMO STATER FK (EM.0215)</t>
  </si>
  <si>
    <t>REPAIR DINAMO STATER FK (EM.0216)</t>
  </si>
  <si>
    <t>ELMOT 4 KW RPM 1500 (EM.0083)</t>
  </si>
  <si>
    <t>ELMOT KW 2,2 RPM 1500 (EM.0214)</t>
  </si>
  <si>
    <t>ELMOT KW 1,1 RPM 3000 (EM.0065)</t>
  </si>
  <si>
    <t>ELMOT KW 3 RPM 1500 (EM.0097)</t>
  </si>
  <si>
    <t xml:space="preserve"> ELMOT KW 4  (EM.00223)</t>
  </si>
  <si>
    <t>ELMOT KW 2,2 RPM 1500 (EM.0111)</t>
  </si>
  <si>
    <t>ELMOT KW 18,5 RPM 1500 (EM.0116)</t>
  </si>
  <si>
    <t>ELMOT KW 5,5 RPM 1500 (EM.0224)</t>
  </si>
  <si>
    <t>ELMOT KW 15 RPM 3000 (EM.0071)</t>
  </si>
  <si>
    <t>ELMOT KW 45 RPM 1500 (EM.0250)</t>
  </si>
  <si>
    <t>TOOLS</t>
  </si>
  <si>
    <t>SC 01 MILLING</t>
  </si>
  <si>
    <t>BLOWER TURBIN ACID PLANT</t>
  </si>
  <si>
    <t>SC FEEDING RM A</t>
  </si>
  <si>
    <t>VIBRATING FINISHING LINE A</t>
  </si>
  <si>
    <t>FAN BLOWER ACID PLANT</t>
  </si>
  <si>
    <t>SC 04 MILLING</t>
  </si>
  <si>
    <t>BELT CONVEYOR GHM</t>
  </si>
  <si>
    <t>SCRUBBER ACID PLANT</t>
  </si>
  <si>
    <t>WP.06</t>
  </si>
  <si>
    <t>ELMOT KW 55 RPM 1500 (EM.0025)</t>
  </si>
  <si>
    <t>ELMOT KW 55 RPM 3000 (EM.0235)</t>
  </si>
  <si>
    <t>ELMOT KW 55 RPM 1500 (EM.0234)</t>
  </si>
  <si>
    <t>ELMOT KW 55 RPM 1500 (EM.0019)</t>
  </si>
  <si>
    <t>ELMOT KW 15 RPM 3000 (EM.0180)</t>
  </si>
  <si>
    <t>ELMOT KW 0,55 RPM 1500 (EM.0110)</t>
  </si>
  <si>
    <t>ELMOT KW 4 RPM 1500 (EM.0117)</t>
  </si>
  <si>
    <t>ELMOT KW 11 RPM 1500 (EM.0233)</t>
  </si>
  <si>
    <t>ELMOT KW 30 RPM 1500 (EM.0025)</t>
  </si>
  <si>
    <t>ELMOT KW 1,5 RPM 1500 (EM.0229)</t>
  </si>
  <si>
    <t>ELMOT KW 1,5 RPM 1500 (EM.0230)</t>
  </si>
  <si>
    <t>DINAMO CAS WL (EM.0262)</t>
  </si>
  <si>
    <t>DINAMO CAS FK (EM.0211)</t>
  </si>
  <si>
    <t>DINAMO STATER FK (EM.0227)</t>
  </si>
  <si>
    <t>DINAMO STATER WL (EM.0212)</t>
  </si>
  <si>
    <t>DINAMO STATER WL (EM.0263)</t>
  </si>
  <si>
    <t>DINAMO STATER WL (EM.0228)</t>
  </si>
  <si>
    <t>BOILER TRANSFER ACID</t>
  </si>
  <si>
    <t>SCRUBER ACID PLANT</t>
  </si>
  <si>
    <t>POMPA OLI QGS A 2</t>
  </si>
  <si>
    <t>TIMBANGAN BLENDING</t>
  </si>
  <si>
    <t>FEEDING 06</t>
  </si>
  <si>
    <t>HOIST GB FINISHING A</t>
  </si>
  <si>
    <t>HEAVY EQUIPMENT</t>
  </si>
  <si>
    <t>NO</t>
  </si>
  <si>
    <t>ELMOT 55 KW RPM 3000 (EM.0220)</t>
  </si>
  <si>
    <t>ELMOT 45 KW RPM 3000 (EM.0264)</t>
  </si>
  <si>
    <t>ELMOT 2,2 KW RPM 1500 (EM.0101)</t>
  </si>
  <si>
    <t>ELMOT 1,5 KW RPM 1500 (EM.0046)</t>
  </si>
  <si>
    <t xml:space="preserve"> ELMOT 3 KW RPM 3000 (EM.0265)</t>
  </si>
  <si>
    <t>ELMOT 4 KW RPM 1500 (EM.0266)</t>
  </si>
  <si>
    <t>ELMOT 55 KW RPM 1500 (EM.0267)</t>
  </si>
  <si>
    <t>ELMOT 4 KW RPM 1500 (EM.0143)</t>
  </si>
  <si>
    <t>ELMOT 55 KW RPM 1500 (EM.0234)</t>
  </si>
  <si>
    <t>ELMOT 75 KW RPM 1500 (EM.0165)</t>
  </si>
  <si>
    <t>POMPA WASHING 02 WP</t>
  </si>
  <si>
    <t>SC 07 MILLING</t>
  </si>
  <si>
    <t>ROTARY CYCLON QGS A1</t>
  </si>
  <si>
    <t>POMPA MOTHER LIQUER</t>
  </si>
  <si>
    <t>HM A MILLING</t>
  </si>
  <si>
    <t xml:space="preserve">no elmot </t>
  </si>
  <si>
    <t>EM.0265 A</t>
  </si>
  <si>
    <r>
      <t xml:space="preserve">EM.0265 </t>
    </r>
    <r>
      <rPr>
        <sz val="11"/>
        <color theme="1"/>
        <rFont val="Aptos Display"/>
        <family val="2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</si>
</sst>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409]d\-mmm\-yy;@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Bahnschrift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0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rgb="FFFF0000"/>
      <name val="Segoe UI"/>
      <family val="2"/>
    </font>
    <font>
      <b/>
      <sz val="10"/>
      <color indexed="10"/>
      <name val="Segoe UI"/>
      <family val="2"/>
    </font>
    <font>
      <b/>
      <sz val="10"/>
      <color theme="1"/>
      <name val="Aptos"/>
      <family val="2"/>
    </font>
    <font>
      <b/>
      <sz val="11"/>
      <color theme="1"/>
      <name val="Aptos Display"/>
      <family val="2"/>
    </font>
    <font>
      <b/>
      <sz val="10"/>
      <color theme="1"/>
      <name val="Aptos Display"/>
      <family val="2"/>
    </font>
    <font>
      <b/>
      <sz val="10"/>
      <color rgb="FFFF0000"/>
      <name val="Aptos Display"/>
      <family val="2"/>
    </font>
    <font>
      <sz val="11"/>
      <color theme="1"/>
      <name val="Aptos Display"/>
      <family val="2"/>
    </font>
    <font>
      <b/>
      <sz val="10"/>
      <color indexed="10"/>
      <name val="Aptos Display"/>
      <family val="2"/>
    </font>
    <font>
      <b/>
      <sz val="8"/>
      <color theme="1"/>
      <name val="Aptos Display"/>
      <family val="2"/>
    </font>
    <font>
      <sz val="10"/>
      <color theme="1"/>
      <name val="Aptos Display"/>
      <family val="2"/>
    </font>
    <font>
      <b/>
      <sz val="11"/>
      <color theme="1"/>
      <name val="Calibri Light"/>
      <family val="2"/>
      <scheme val="major"/>
    </font>
    <font>
      <b/>
      <sz val="12.85"/>
      <color theme="1"/>
      <name val="Calibri Light"/>
      <family val="2"/>
    </font>
    <font>
      <b/>
      <sz val="20"/>
      <color theme="1"/>
      <name val="Verdana"/>
      <family val="2"/>
    </font>
    <font>
      <b/>
      <sz val="11"/>
      <color theme="1"/>
      <name val="Aptos Narrow"/>
      <family val="2"/>
    </font>
    <font>
      <b/>
      <sz val="10"/>
      <color theme="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Display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164" fontId="9" fillId="3" borderId="3" xfId="0" quotePrefix="1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1" fillId="3" borderId="2" xfId="0" quotePrefix="1" applyFont="1" applyFill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2" xfId="0" quotePrefix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3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quotePrefix="1" applyFont="1" applyBorder="1" applyAlignment="1">
      <alignment horizontal="center" vertical="center"/>
    </xf>
    <xf numFmtId="164" fontId="9" fillId="0" borderId="4" xfId="0" quotePrefix="1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5" borderId="8" xfId="0" applyFont="1" applyFill="1" applyBorder="1" applyAlignment="1">
      <alignment horizontal="left"/>
    </xf>
    <xf numFmtId="0" fontId="10" fillId="0" borderId="8" xfId="0" applyFont="1" applyBorder="1" applyAlignment="1">
      <alignment horizontal="center" vertical="center"/>
    </xf>
    <xf numFmtId="164" fontId="9" fillId="3" borderId="2" xfId="0" quotePrefix="1" applyNumberFormat="1" applyFont="1" applyFill="1" applyBorder="1" applyAlignment="1">
      <alignment horizontal="center" vertical="center"/>
    </xf>
    <xf numFmtId="164" fontId="9" fillId="3" borderId="8" xfId="0" quotePrefix="1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vertical="center"/>
    </xf>
    <xf numFmtId="164" fontId="9" fillId="3" borderId="4" xfId="0" quotePrefix="1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9" fillId="3" borderId="3" xfId="0" quotePrefix="1" applyFont="1" applyFill="1" applyBorder="1" applyAlignment="1">
      <alignment horizontal="center" vertical="center"/>
    </xf>
    <xf numFmtId="0" fontId="11" fillId="3" borderId="3" xfId="0" quotePrefix="1" applyFont="1" applyFill="1" applyBorder="1" applyAlignment="1">
      <alignment vertical="center"/>
    </xf>
    <xf numFmtId="0" fontId="10" fillId="4" borderId="4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9" fillId="3" borderId="4" xfId="0" quotePrefix="1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vertical="center"/>
    </xf>
    <xf numFmtId="0" fontId="10" fillId="5" borderId="4" xfId="0" applyFont="1" applyFill="1" applyBorder="1" applyAlignment="1">
      <alignment horizontal="left"/>
    </xf>
    <xf numFmtId="15" fontId="9" fillId="3" borderId="3" xfId="0" quotePrefix="1" applyNumberFormat="1" applyFont="1" applyFill="1" applyBorder="1" applyAlignment="1">
      <alignment horizontal="center" vertical="center"/>
    </xf>
    <xf numFmtId="15" fontId="9" fillId="3" borderId="8" xfId="0" quotePrefix="1" applyNumberFormat="1" applyFont="1" applyFill="1" applyBorder="1" applyAlignment="1">
      <alignment horizontal="center" vertical="center"/>
    </xf>
    <xf numFmtId="0" fontId="11" fillId="3" borderId="8" xfId="0" quotePrefix="1" applyFont="1" applyFill="1" applyBorder="1" applyAlignment="1">
      <alignment vertical="center"/>
    </xf>
    <xf numFmtId="15" fontId="11" fillId="3" borderId="3" xfId="0" quotePrefix="1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vertical="center"/>
    </xf>
    <xf numFmtId="0" fontId="11" fillId="3" borderId="3" xfId="0" quotePrefix="1" applyFont="1" applyFill="1" applyBorder="1" applyAlignment="1">
      <alignment vertical="center" wrapText="1"/>
    </xf>
    <xf numFmtId="15" fontId="9" fillId="3" borderId="4" xfId="0" quotePrefix="1" applyNumberFormat="1" applyFont="1" applyFill="1" applyBorder="1" applyAlignment="1">
      <alignment horizontal="center" vertical="center"/>
    </xf>
    <xf numFmtId="0" fontId="11" fillId="3" borderId="4" xfId="0" quotePrefix="1" applyFont="1" applyFill="1" applyBorder="1" applyAlignment="1">
      <alignment vertical="top"/>
    </xf>
    <xf numFmtId="164" fontId="9" fillId="0" borderId="3" xfId="0" applyNumberFormat="1" applyFont="1" applyBorder="1" applyAlignment="1">
      <alignment horizontal="center"/>
    </xf>
    <xf numFmtId="15" fontId="9" fillId="0" borderId="3" xfId="0" quotePrefix="1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top"/>
    </xf>
    <xf numFmtId="0" fontId="9" fillId="0" borderId="4" xfId="0" quotePrefix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/>
    </xf>
    <xf numFmtId="164" fontId="9" fillId="3" borderId="4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3" xfId="0" applyFont="1" applyBorder="1"/>
    <xf numFmtId="0" fontId="9" fillId="3" borderId="3" xfId="0" quotePrefix="1" applyFont="1" applyFill="1" applyBorder="1" applyAlignment="1">
      <alignment horizontal="center"/>
    </xf>
    <xf numFmtId="0" fontId="9" fillId="3" borderId="4" xfId="0" quotePrefix="1" applyFont="1" applyFill="1" applyBorder="1" applyAlignment="1">
      <alignment horizontal="center"/>
    </xf>
    <xf numFmtId="0" fontId="9" fillId="3" borderId="4" xfId="0" applyFont="1" applyFill="1" applyBorder="1"/>
    <xf numFmtId="0" fontId="9" fillId="3" borderId="3" xfId="0" applyFont="1" applyFill="1" applyBorder="1"/>
    <xf numFmtId="0" fontId="9" fillId="3" borderId="8" xfId="0" applyFont="1" applyFill="1" applyBorder="1"/>
    <xf numFmtId="0" fontId="10" fillId="5" borderId="2" xfId="0" applyFont="1" applyFill="1" applyBorder="1" applyAlignment="1">
      <alignment horizontal="left"/>
    </xf>
    <xf numFmtId="0" fontId="9" fillId="3" borderId="3" xfId="0" quotePrefix="1" applyFont="1" applyFill="1" applyBorder="1" applyAlignment="1">
      <alignment vertical="center"/>
    </xf>
    <xf numFmtId="164" fontId="9" fillId="3" borderId="4" xfId="0" quotePrefix="1" applyNumberFormat="1" applyFont="1" applyFill="1" applyBorder="1" applyAlignment="1">
      <alignment vertical="center"/>
    </xf>
    <xf numFmtId="0" fontId="11" fillId="3" borderId="3" xfId="0" applyFont="1" applyFill="1" applyBorder="1" applyAlignment="1">
      <alignment vertical="top"/>
    </xf>
    <xf numFmtId="164" fontId="9" fillId="3" borderId="2" xfId="0" quotePrefix="1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6" borderId="3" xfId="0" applyFont="1" applyFill="1" applyBorder="1" applyAlignment="1">
      <alignment horizontal="center" vertical="center"/>
    </xf>
    <xf numFmtId="164" fontId="9" fillId="3" borderId="4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left"/>
    </xf>
    <xf numFmtId="164" fontId="9" fillId="6" borderId="3" xfId="0" applyNumberFormat="1" applyFont="1" applyFill="1" applyBorder="1" applyAlignment="1">
      <alignment horizontal="center" vertical="center"/>
    </xf>
    <xf numFmtId="164" fontId="9" fillId="6" borderId="3" xfId="0" quotePrefix="1" applyNumberFormat="1" applyFont="1" applyFill="1" applyBorder="1" applyAlignment="1">
      <alignment horizontal="center" vertical="center"/>
    </xf>
    <xf numFmtId="0" fontId="9" fillId="3" borderId="8" xfId="0" quotePrefix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/>
    <xf numFmtId="0" fontId="9" fillId="6" borderId="3" xfId="0" applyFont="1" applyFill="1" applyBorder="1" applyAlignment="1">
      <alignment horizontal="center"/>
    </xf>
    <xf numFmtId="164" fontId="9" fillId="6" borderId="3" xfId="0" quotePrefix="1" applyNumberFormat="1" applyFont="1" applyFill="1" applyBorder="1" applyAlignment="1">
      <alignment horizontal="center"/>
    </xf>
    <xf numFmtId="164" fontId="9" fillId="6" borderId="3" xfId="0" applyNumberFormat="1" applyFont="1" applyFill="1" applyBorder="1" applyAlignment="1">
      <alignment horizontal="center" wrapText="1"/>
    </xf>
    <xf numFmtId="164" fontId="9" fillId="0" borderId="3" xfId="0" applyNumberFormat="1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164" fontId="9" fillId="0" borderId="3" xfId="0" quotePrefix="1" applyNumberFormat="1" applyFont="1" applyBorder="1" applyAlignment="1">
      <alignment horizontal="center"/>
    </xf>
    <xf numFmtId="0" fontId="9" fillId="0" borderId="3" xfId="0" applyFont="1" applyBorder="1" applyAlignment="1">
      <alignment vertical="top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3" xfId="0" applyFont="1" applyBorder="1"/>
    <xf numFmtId="164" fontId="11" fillId="0" borderId="4" xfId="0" quotePrefix="1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top"/>
    </xf>
    <xf numFmtId="164" fontId="11" fillId="0" borderId="3" xfId="0" quotePrefix="1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164" fontId="11" fillId="0" borderId="3" xfId="0" quotePrefix="1" applyNumberFormat="1" applyFont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/>
    </xf>
    <xf numFmtId="0" fontId="9" fillId="6" borderId="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quotePrefix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15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12" xfId="0" quotePrefix="1" applyFont="1" applyBorder="1" applyAlignment="1">
      <alignment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15" fontId="15" fillId="0" borderId="13" xfId="0" applyNumberFormat="1" applyFont="1" applyBorder="1" applyAlignment="1">
      <alignment horizontal="center" vertical="center"/>
    </xf>
    <xf numFmtId="15" fontId="15" fillId="0" borderId="13" xfId="0" quotePrefix="1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6" fillId="0" borderId="13" xfId="0" quotePrefix="1" applyFont="1" applyBorder="1" applyAlignment="1">
      <alignment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15" fillId="0" borderId="13" xfId="0" quotePrefix="1" applyFont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15" fontId="15" fillId="7" borderId="13" xfId="0" applyNumberFormat="1" applyFont="1" applyFill="1" applyBorder="1" applyAlignment="1">
      <alignment horizontal="center" vertical="center"/>
    </xf>
    <xf numFmtId="15" fontId="15" fillId="7" borderId="13" xfId="0" quotePrefix="1" applyNumberFormat="1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16" fillId="7" borderId="13" xfId="0" quotePrefix="1" applyFont="1" applyFill="1" applyBorder="1" applyAlignment="1">
      <alignment vertical="center"/>
    </xf>
    <xf numFmtId="0" fontId="15" fillId="7" borderId="13" xfId="0" applyFont="1" applyFill="1" applyBorder="1" applyAlignment="1">
      <alignment vertical="center"/>
    </xf>
    <xf numFmtId="0" fontId="15" fillId="7" borderId="13" xfId="0" quotePrefix="1" applyFont="1" applyFill="1" applyBorder="1" applyAlignment="1">
      <alignment horizontal="center" vertical="center"/>
    </xf>
    <xf numFmtId="0" fontId="15" fillId="7" borderId="13" xfId="0" quotePrefix="1" applyFont="1" applyFill="1" applyBorder="1" applyAlignment="1">
      <alignment vertical="center"/>
    </xf>
    <xf numFmtId="15" fontId="16" fillId="7" borderId="13" xfId="0" quotePrefix="1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vertical="center"/>
    </xf>
    <xf numFmtId="0" fontId="16" fillId="7" borderId="13" xfId="0" quotePrefix="1" applyFont="1" applyFill="1" applyBorder="1" applyAlignment="1">
      <alignment vertical="center" wrapText="1"/>
    </xf>
    <xf numFmtId="0" fontId="15" fillId="0" borderId="13" xfId="0" applyFont="1" applyBorder="1"/>
    <xf numFmtId="0" fontId="16" fillId="7" borderId="1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3" xfId="0" quotePrefix="1" applyFont="1" applyBorder="1" applyAlignment="1">
      <alignment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 wrapText="1"/>
    </xf>
    <xf numFmtId="164" fontId="15" fillId="7" borderId="13" xfId="0" quotePrefix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4" fillId="0" borderId="15" xfId="0" applyFont="1" applyBorder="1" applyAlignment="1">
      <alignment horizontal="centerContinuous" vertical="center"/>
    </xf>
    <xf numFmtId="15" fontId="15" fillId="4" borderId="13" xfId="0" quotePrefix="1" applyNumberFormat="1" applyFont="1" applyFill="1" applyBorder="1" applyAlignment="1">
      <alignment horizontal="center" vertical="center"/>
    </xf>
    <xf numFmtId="0" fontId="15" fillId="4" borderId="13" xfId="0" quotePrefix="1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vertical="center"/>
    </xf>
    <xf numFmtId="15" fontId="15" fillId="6" borderId="13" xfId="0" applyNumberFormat="1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vertical="center"/>
    </xf>
    <xf numFmtId="15" fontId="15" fillId="6" borderId="13" xfId="0" quotePrefix="1" applyNumberFormat="1" applyFont="1" applyFill="1" applyBorder="1" applyAlignment="1">
      <alignment horizontal="center" vertical="center"/>
    </xf>
    <xf numFmtId="0" fontId="15" fillId="6" borderId="13" xfId="0" applyFont="1" applyFill="1" applyBorder="1"/>
    <xf numFmtId="15" fontId="15" fillId="6" borderId="13" xfId="0" applyNumberFormat="1" applyFont="1" applyFill="1" applyBorder="1" applyAlignment="1">
      <alignment horizontal="center"/>
    </xf>
    <xf numFmtId="0" fontId="15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15" fontId="15" fillId="6" borderId="13" xfId="0" applyNumberFormat="1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vertical="center" wrapText="1"/>
    </xf>
    <xf numFmtId="15" fontId="15" fillId="0" borderId="13" xfId="0" quotePrefix="1" applyNumberFormat="1" applyFont="1" applyBorder="1" applyAlignment="1">
      <alignment horizontal="center"/>
    </xf>
    <xf numFmtId="15" fontId="15" fillId="6" borderId="13" xfId="0" quotePrefix="1" applyNumberFormat="1" applyFont="1" applyFill="1" applyBorder="1" applyAlignment="1">
      <alignment horizontal="center"/>
    </xf>
    <xf numFmtId="0" fontId="15" fillId="6" borderId="13" xfId="0" applyFont="1" applyFill="1" applyBorder="1" applyAlignment="1">
      <alignment horizontal="center"/>
    </xf>
    <xf numFmtId="0" fontId="19" fillId="0" borderId="15" xfId="0" applyFont="1" applyBorder="1" applyAlignment="1">
      <alignment horizontal="centerContinuous" vertical="center" wrapText="1"/>
    </xf>
    <xf numFmtId="15" fontId="16" fillId="0" borderId="13" xfId="0" applyNumberFormat="1" applyFont="1" applyBorder="1" applyAlignment="1">
      <alignment horizontal="center" vertical="center"/>
    </xf>
    <xf numFmtId="15" fontId="16" fillId="0" borderId="13" xfId="0" quotePrefix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7" borderId="13" xfId="0" applyFont="1" applyFill="1" applyBorder="1" applyAlignment="1">
      <alignment vertical="center" wrapText="1"/>
    </xf>
    <xf numFmtId="0" fontId="16" fillId="7" borderId="13" xfId="0" applyFont="1" applyFill="1" applyBorder="1" applyAlignment="1">
      <alignment horizontal="left" vertical="center" wrapText="1"/>
    </xf>
    <xf numFmtId="0" fontId="15" fillId="6" borderId="13" xfId="0" quotePrefix="1" applyFont="1" applyFill="1" applyBorder="1" applyAlignment="1">
      <alignment horizontal="center"/>
    </xf>
    <xf numFmtId="41" fontId="15" fillId="0" borderId="13" xfId="0" applyNumberFormat="1" applyFont="1" applyBorder="1" applyAlignment="1">
      <alignment horizontal="right" vertical="center"/>
    </xf>
    <xf numFmtId="0" fontId="14" fillId="6" borderId="1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left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24" fillId="9" borderId="17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left"/>
    </xf>
    <xf numFmtId="0" fontId="14" fillId="10" borderId="13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4" fillId="11" borderId="3" xfId="0" applyFont="1" applyFill="1" applyBorder="1" applyAlignment="1">
      <alignment horizontal="center" vertical="center"/>
    </xf>
    <xf numFmtId="15" fontId="16" fillId="6" borderId="13" xfId="0" quotePrefix="1" applyNumberFormat="1" applyFont="1" applyFill="1" applyBorder="1" applyAlignment="1">
      <alignment horizontal="center"/>
    </xf>
    <xf numFmtId="0" fontId="16" fillId="6" borderId="13" xfId="0" applyFont="1" applyFill="1" applyBorder="1" applyAlignment="1">
      <alignment horizontal="left" vertical="center" wrapText="1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/>
    </xf>
    <xf numFmtId="164" fontId="15" fillId="6" borderId="13" xfId="0" quotePrefix="1" applyNumberFormat="1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/>
    </xf>
    <xf numFmtId="0" fontId="25" fillId="6" borderId="3" xfId="0" applyFont="1" applyFill="1" applyBorder="1" applyAlignment="1">
      <alignment horizontal="center"/>
    </xf>
    <xf numFmtId="0" fontId="24" fillId="6" borderId="17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horizontal="left"/>
    </xf>
    <xf numFmtId="0" fontId="14" fillId="5" borderId="13" xfId="0" applyFont="1" applyFill="1" applyBorder="1" applyAlignment="1">
      <alignment horizontal="left"/>
    </xf>
    <xf numFmtId="0" fontId="16" fillId="6" borderId="13" xfId="0" quotePrefix="1" applyFont="1" applyFill="1" applyBorder="1" applyAlignment="1">
      <alignment vertical="center"/>
    </xf>
    <xf numFmtId="0" fontId="4" fillId="4" borderId="3" xfId="0" applyFont="1" applyFill="1" applyBorder="1" applyAlignment="1">
      <alignment horizontal="left"/>
    </xf>
    <xf numFmtId="0" fontId="10" fillId="13" borderId="2" xfId="0" applyFont="1" applyFill="1" applyBorder="1" applyAlignment="1">
      <alignment horizontal="left"/>
    </xf>
    <xf numFmtId="0" fontId="10" fillId="13" borderId="2" xfId="0" applyFont="1" applyFill="1" applyBorder="1" applyAlignment="1">
      <alignment horizontal="center" vertical="center"/>
    </xf>
    <xf numFmtId="164" fontId="9" fillId="13" borderId="3" xfId="0" quotePrefix="1" applyNumberFormat="1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 vertical="center"/>
    </xf>
    <xf numFmtId="0" fontId="9" fillId="13" borderId="3" xfId="0" applyFont="1" applyFill="1" applyBorder="1"/>
    <xf numFmtId="0" fontId="9" fillId="13" borderId="4" xfId="0" applyFont="1" applyFill="1" applyBorder="1" applyAlignment="1">
      <alignment horizontal="center" vertical="center"/>
    </xf>
    <xf numFmtId="0" fontId="24" fillId="6" borderId="20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15" fontId="2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4" fillId="7" borderId="13" xfId="0" applyFont="1" applyFill="1" applyBorder="1" applyAlignment="1">
      <alignment horizontal="left" vertical="center"/>
    </xf>
    <xf numFmtId="15" fontId="15" fillId="4" borderId="13" xfId="0" applyNumberFormat="1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/>
    </xf>
    <xf numFmtId="15" fontId="15" fillId="7" borderId="13" xfId="0" applyNumberFormat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vertical="center"/>
    </xf>
    <xf numFmtId="0" fontId="14" fillId="10" borderId="13" xfId="0" applyFont="1" applyFill="1" applyBorder="1" applyAlignment="1">
      <alignment horizontal="left" vertical="center"/>
    </xf>
    <xf numFmtId="15" fontId="15" fillId="10" borderId="13" xfId="0" quotePrefix="1" applyNumberFormat="1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vertical="center"/>
    </xf>
    <xf numFmtId="0" fontId="15" fillId="10" borderId="13" xfId="0" quotePrefix="1" applyFont="1" applyFill="1" applyBorder="1" applyAlignment="1">
      <alignment horizontal="center" vertical="center"/>
    </xf>
    <xf numFmtId="0" fontId="15" fillId="6" borderId="13" xfId="0" quotePrefix="1" applyFont="1" applyFill="1" applyBorder="1" applyAlignment="1">
      <alignment horizontal="center" vertical="center"/>
    </xf>
    <xf numFmtId="15" fontId="14" fillId="0" borderId="0" xfId="0" applyNumberFormat="1" applyFont="1" applyAlignment="1">
      <alignment vertical="center"/>
    </xf>
    <xf numFmtId="49" fontId="15" fillId="0" borderId="13" xfId="0" quotePrefix="1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4" fillId="6" borderId="13" xfId="0" applyFont="1" applyFill="1" applyBorder="1" applyAlignment="1">
      <alignment horizontal="left" vertical="center"/>
    </xf>
    <xf numFmtId="0" fontId="14" fillId="9" borderId="13" xfId="0" applyFont="1" applyFill="1" applyBorder="1" applyAlignment="1">
      <alignment horizontal="left" vertical="center"/>
    </xf>
    <xf numFmtId="15" fontId="15" fillId="9" borderId="13" xfId="0" applyNumberFormat="1" applyFont="1" applyFill="1" applyBorder="1" applyAlignment="1">
      <alignment horizontal="center" vertical="center"/>
    </xf>
    <xf numFmtId="15" fontId="15" fillId="9" borderId="13" xfId="0" quotePrefix="1" applyNumberFormat="1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4" fillId="6" borderId="0" xfId="0" applyFont="1" applyFill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14" fillId="6" borderId="16" xfId="0" applyFont="1" applyFill="1" applyBorder="1" applyAlignment="1">
      <alignment horizontal="left" vertical="center"/>
    </xf>
    <xf numFmtId="15" fontId="15" fillId="0" borderId="16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4" fillId="6" borderId="18" xfId="0" applyFont="1" applyFill="1" applyBorder="1" applyAlignment="1">
      <alignment horizontal="left" vertical="center"/>
    </xf>
    <xf numFmtId="15" fontId="15" fillId="0" borderId="18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164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2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113975</xdr:rowOff>
    </xdr:from>
    <xdr:to>
      <xdr:col>1</xdr:col>
      <xdr:colOff>15737</xdr:colOff>
      <xdr:row>2</xdr:row>
      <xdr:rowOff>142876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2056F74A-F4EC-43BA-82EA-D1F5E50DE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3975"/>
          <a:ext cx="666693" cy="672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0</xdr:row>
      <xdr:rowOff>113975</xdr:rowOff>
    </xdr:from>
    <xdr:to>
      <xdr:col>2</xdr:col>
      <xdr:colOff>213429</xdr:colOff>
      <xdr:row>2</xdr:row>
      <xdr:rowOff>142876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3DD5F3F4-846D-4206-815E-186CC858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856" y="113975"/>
          <a:ext cx="668676" cy="672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0</xdr:row>
      <xdr:rowOff>113975</xdr:rowOff>
    </xdr:from>
    <xdr:to>
      <xdr:col>3</xdr:col>
      <xdr:colOff>714375</xdr:colOff>
      <xdr:row>2</xdr:row>
      <xdr:rowOff>123826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5D6803FE-EA9E-4902-9652-0BC2B7564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521" y="113975"/>
          <a:ext cx="647700" cy="652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942975</xdr:colOff>
      <xdr:row>0</xdr:row>
      <xdr:rowOff>152075</xdr:rowOff>
    </xdr:from>
    <xdr:to>
      <xdr:col>4</xdr:col>
      <xdr:colOff>190499</xdr:colOff>
      <xdr:row>2</xdr:row>
      <xdr:rowOff>104776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9003A1BE-E8C5-4E6A-9A62-AD79CAC04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129" t="23846" r="6383" b="26138"/>
        <a:stretch>
          <a:fillRect/>
        </a:stretch>
      </xdr:blipFill>
      <xdr:spPr bwMode="auto">
        <a:xfrm>
          <a:off x="2896821" y="152075"/>
          <a:ext cx="598934" cy="595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15737</xdr:colOff>
      <xdr:row>2</xdr:row>
      <xdr:rowOff>142875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1BC3BCA0-510B-4270-A63A-FF70FE782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663437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0</xdr:row>
      <xdr:rowOff>0</xdr:rowOff>
    </xdr:from>
    <xdr:to>
      <xdr:col>2</xdr:col>
      <xdr:colOff>245994</xdr:colOff>
      <xdr:row>2</xdr:row>
      <xdr:rowOff>142875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BA0C1565-5CBE-4C87-BDD2-45E2C191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0"/>
          <a:ext cx="665094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0</xdr:row>
      <xdr:rowOff>0</xdr:rowOff>
    </xdr:from>
    <xdr:to>
      <xdr:col>3</xdr:col>
      <xdr:colOff>714375</xdr:colOff>
      <xdr:row>2</xdr:row>
      <xdr:rowOff>123825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3177D5B3-242F-41B5-8384-8A202820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942975</xdr:colOff>
      <xdr:row>0</xdr:row>
      <xdr:rowOff>38100</xdr:rowOff>
    </xdr:from>
    <xdr:to>
      <xdr:col>4</xdr:col>
      <xdr:colOff>190499</xdr:colOff>
      <xdr:row>2</xdr:row>
      <xdr:rowOff>104775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EDAE2AEA-7B60-4441-ACF7-C0CFAD3AC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129" t="23846" r="6383" b="26138"/>
        <a:stretch>
          <a:fillRect/>
        </a:stretch>
      </xdr:blipFill>
      <xdr:spPr bwMode="auto">
        <a:xfrm>
          <a:off x="2886075" y="38100"/>
          <a:ext cx="600074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980000-0E66-4051-9AE9-887B89E18742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B2E0-1AF4-443F-A074-917C83726711}">
  <dimension ref="A1:M576"/>
  <sheetViews>
    <sheetView showGridLines="0" tabSelected="1" zoomScale="117" zoomScaleNormal="117" workbookViewId="0">
      <pane xSplit="1" ySplit="7" topLeftCell="B385" activePane="bottomRight" state="frozen"/>
      <selection pane="topRight" activeCell="B1" sqref="B1"/>
      <selection pane="bottomLeft" activeCell="A5" sqref="A5"/>
      <selection pane="bottomRight" activeCell="A2" sqref="A2:J2"/>
    </sheetView>
  </sheetViews>
  <sheetFormatPr defaultRowHeight="15" x14ac:dyDescent="0.25"/>
  <cols>
    <col min="1" max="1" width="11.42578125" style="125" bestFit="1" customWidth="1"/>
    <col min="2" max="2" width="10.28515625" style="126" customWidth="1"/>
    <col min="3" max="3" width="9.42578125" style="126" bestFit="1" customWidth="1"/>
    <col min="4" max="6" width="20.28515625" style="196" customWidth="1"/>
    <col min="7" max="7" width="34.140625" style="123" customWidth="1"/>
    <col min="8" max="8" width="19" style="127" customWidth="1"/>
    <col min="9" max="9" width="25.5703125" style="127" customWidth="1"/>
    <col min="10" max="10" width="37.7109375" style="123" customWidth="1"/>
    <col min="11" max="11" width="18.7109375" style="123" bestFit="1" customWidth="1"/>
    <col min="12" max="12" width="21" style="127" bestFit="1" customWidth="1"/>
    <col min="13" max="13" width="21" style="123" bestFit="1" customWidth="1"/>
    <col min="14" max="255" width="9.140625" style="123"/>
    <col min="256" max="256" width="10.85546875" style="123" customWidth="1"/>
    <col min="257" max="258" width="8" style="123" customWidth="1"/>
    <col min="259" max="261" width="20.28515625" style="123" customWidth="1"/>
    <col min="262" max="262" width="34.140625" style="123" customWidth="1"/>
    <col min="263" max="263" width="21.28515625" style="123" customWidth="1"/>
    <col min="264" max="264" width="22.7109375" style="123" customWidth="1"/>
    <col min="265" max="265" width="36.7109375" style="123" customWidth="1"/>
    <col min="266" max="266" width="9.140625" style="123"/>
    <col min="267" max="267" width="5.7109375" style="123" customWidth="1"/>
    <col min="268" max="268" width="6.42578125" style="123" customWidth="1"/>
    <col min="269" max="511" width="9.140625" style="123"/>
    <col min="512" max="512" width="10.85546875" style="123" customWidth="1"/>
    <col min="513" max="514" width="8" style="123" customWidth="1"/>
    <col min="515" max="517" width="20.28515625" style="123" customWidth="1"/>
    <col min="518" max="518" width="34.140625" style="123" customWidth="1"/>
    <col min="519" max="519" width="21.28515625" style="123" customWidth="1"/>
    <col min="520" max="520" width="22.7109375" style="123" customWidth="1"/>
    <col min="521" max="521" width="36.7109375" style="123" customWidth="1"/>
    <col min="522" max="522" width="9.140625" style="123"/>
    <col min="523" max="523" width="5.7109375" style="123" customWidth="1"/>
    <col min="524" max="524" width="6.42578125" style="123" customWidth="1"/>
    <col min="525" max="767" width="9.140625" style="123"/>
    <col min="768" max="768" width="10.85546875" style="123" customWidth="1"/>
    <col min="769" max="770" width="8" style="123" customWidth="1"/>
    <col min="771" max="773" width="20.28515625" style="123" customWidth="1"/>
    <col min="774" max="774" width="34.140625" style="123" customWidth="1"/>
    <col min="775" max="775" width="21.28515625" style="123" customWidth="1"/>
    <col min="776" max="776" width="22.7109375" style="123" customWidth="1"/>
    <col min="777" max="777" width="36.7109375" style="123" customWidth="1"/>
    <col min="778" max="778" width="9.140625" style="123"/>
    <col min="779" max="779" width="5.7109375" style="123" customWidth="1"/>
    <col min="780" max="780" width="6.42578125" style="123" customWidth="1"/>
    <col min="781" max="1023" width="9.140625" style="123"/>
    <col min="1024" max="1024" width="10.85546875" style="123" customWidth="1"/>
    <col min="1025" max="1026" width="8" style="123" customWidth="1"/>
    <col min="1027" max="1029" width="20.28515625" style="123" customWidth="1"/>
    <col min="1030" max="1030" width="34.140625" style="123" customWidth="1"/>
    <col min="1031" max="1031" width="21.28515625" style="123" customWidth="1"/>
    <col min="1032" max="1032" width="22.7109375" style="123" customWidth="1"/>
    <col min="1033" max="1033" width="36.7109375" style="123" customWidth="1"/>
    <col min="1034" max="1034" width="9.140625" style="123"/>
    <col min="1035" max="1035" width="5.7109375" style="123" customWidth="1"/>
    <col min="1036" max="1036" width="6.42578125" style="123" customWidth="1"/>
    <col min="1037" max="1279" width="9.140625" style="123"/>
    <col min="1280" max="1280" width="10.85546875" style="123" customWidth="1"/>
    <col min="1281" max="1282" width="8" style="123" customWidth="1"/>
    <col min="1283" max="1285" width="20.28515625" style="123" customWidth="1"/>
    <col min="1286" max="1286" width="34.140625" style="123" customWidth="1"/>
    <col min="1287" max="1287" width="21.28515625" style="123" customWidth="1"/>
    <col min="1288" max="1288" width="22.7109375" style="123" customWidth="1"/>
    <col min="1289" max="1289" width="36.7109375" style="123" customWidth="1"/>
    <col min="1290" max="1290" width="9.140625" style="123"/>
    <col min="1291" max="1291" width="5.7109375" style="123" customWidth="1"/>
    <col min="1292" max="1292" width="6.42578125" style="123" customWidth="1"/>
    <col min="1293" max="1535" width="9.140625" style="123"/>
    <col min="1536" max="1536" width="10.85546875" style="123" customWidth="1"/>
    <col min="1537" max="1538" width="8" style="123" customWidth="1"/>
    <col min="1539" max="1541" width="20.28515625" style="123" customWidth="1"/>
    <col min="1542" max="1542" width="34.140625" style="123" customWidth="1"/>
    <col min="1543" max="1543" width="21.28515625" style="123" customWidth="1"/>
    <col min="1544" max="1544" width="22.7109375" style="123" customWidth="1"/>
    <col min="1545" max="1545" width="36.7109375" style="123" customWidth="1"/>
    <col min="1546" max="1546" width="9.140625" style="123"/>
    <col min="1547" max="1547" width="5.7109375" style="123" customWidth="1"/>
    <col min="1548" max="1548" width="6.42578125" style="123" customWidth="1"/>
    <col min="1549" max="1791" width="9.140625" style="123"/>
    <col min="1792" max="1792" width="10.85546875" style="123" customWidth="1"/>
    <col min="1793" max="1794" width="8" style="123" customWidth="1"/>
    <col min="1795" max="1797" width="20.28515625" style="123" customWidth="1"/>
    <col min="1798" max="1798" width="34.140625" style="123" customWidth="1"/>
    <col min="1799" max="1799" width="21.28515625" style="123" customWidth="1"/>
    <col min="1800" max="1800" width="22.7109375" style="123" customWidth="1"/>
    <col min="1801" max="1801" width="36.7109375" style="123" customWidth="1"/>
    <col min="1802" max="1802" width="9.140625" style="123"/>
    <col min="1803" max="1803" width="5.7109375" style="123" customWidth="1"/>
    <col min="1804" max="1804" width="6.42578125" style="123" customWidth="1"/>
    <col min="1805" max="2047" width="9.140625" style="123"/>
    <col min="2048" max="2048" width="10.85546875" style="123" customWidth="1"/>
    <col min="2049" max="2050" width="8" style="123" customWidth="1"/>
    <col min="2051" max="2053" width="20.28515625" style="123" customWidth="1"/>
    <col min="2054" max="2054" width="34.140625" style="123" customWidth="1"/>
    <col min="2055" max="2055" width="21.28515625" style="123" customWidth="1"/>
    <col min="2056" max="2056" width="22.7109375" style="123" customWidth="1"/>
    <col min="2057" max="2057" width="36.7109375" style="123" customWidth="1"/>
    <col min="2058" max="2058" width="9.140625" style="123"/>
    <col min="2059" max="2059" width="5.7109375" style="123" customWidth="1"/>
    <col min="2060" max="2060" width="6.42578125" style="123" customWidth="1"/>
    <col min="2061" max="2303" width="9.140625" style="123"/>
    <col min="2304" max="2304" width="10.85546875" style="123" customWidth="1"/>
    <col min="2305" max="2306" width="8" style="123" customWidth="1"/>
    <col min="2307" max="2309" width="20.28515625" style="123" customWidth="1"/>
    <col min="2310" max="2310" width="34.140625" style="123" customWidth="1"/>
    <col min="2311" max="2311" width="21.28515625" style="123" customWidth="1"/>
    <col min="2312" max="2312" width="22.7109375" style="123" customWidth="1"/>
    <col min="2313" max="2313" width="36.7109375" style="123" customWidth="1"/>
    <col min="2314" max="2314" width="9.140625" style="123"/>
    <col min="2315" max="2315" width="5.7109375" style="123" customWidth="1"/>
    <col min="2316" max="2316" width="6.42578125" style="123" customWidth="1"/>
    <col min="2317" max="2559" width="9.140625" style="123"/>
    <col min="2560" max="2560" width="10.85546875" style="123" customWidth="1"/>
    <col min="2561" max="2562" width="8" style="123" customWidth="1"/>
    <col min="2563" max="2565" width="20.28515625" style="123" customWidth="1"/>
    <col min="2566" max="2566" width="34.140625" style="123" customWidth="1"/>
    <col min="2567" max="2567" width="21.28515625" style="123" customWidth="1"/>
    <col min="2568" max="2568" width="22.7109375" style="123" customWidth="1"/>
    <col min="2569" max="2569" width="36.7109375" style="123" customWidth="1"/>
    <col min="2570" max="2570" width="9.140625" style="123"/>
    <col min="2571" max="2571" width="5.7109375" style="123" customWidth="1"/>
    <col min="2572" max="2572" width="6.42578125" style="123" customWidth="1"/>
    <col min="2573" max="2815" width="9.140625" style="123"/>
    <col min="2816" max="2816" width="10.85546875" style="123" customWidth="1"/>
    <col min="2817" max="2818" width="8" style="123" customWidth="1"/>
    <col min="2819" max="2821" width="20.28515625" style="123" customWidth="1"/>
    <col min="2822" max="2822" width="34.140625" style="123" customWidth="1"/>
    <col min="2823" max="2823" width="21.28515625" style="123" customWidth="1"/>
    <col min="2824" max="2824" width="22.7109375" style="123" customWidth="1"/>
    <col min="2825" max="2825" width="36.7109375" style="123" customWidth="1"/>
    <col min="2826" max="2826" width="9.140625" style="123"/>
    <col min="2827" max="2827" width="5.7109375" style="123" customWidth="1"/>
    <col min="2828" max="2828" width="6.42578125" style="123" customWidth="1"/>
    <col min="2829" max="3071" width="9.140625" style="123"/>
    <col min="3072" max="3072" width="10.85546875" style="123" customWidth="1"/>
    <col min="3073" max="3074" width="8" style="123" customWidth="1"/>
    <col min="3075" max="3077" width="20.28515625" style="123" customWidth="1"/>
    <col min="3078" max="3078" width="34.140625" style="123" customWidth="1"/>
    <col min="3079" max="3079" width="21.28515625" style="123" customWidth="1"/>
    <col min="3080" max="3080" width="22.7109375" style="123" customWidth="1"/>
    <col min="3081" max="3081" width="36.7109375" style="123" customWidth="1"/>
    <col min="3082" max="3082" width="9.140625" style="123"/>
    <col min="3083" max="3083" width="5.7109375" style="123" customWidth="1"/>
    <col min="3084" max="3084" width="6.42578125" style="123" customWidth="1"/>
    <col min="3085" max="3327" width="9.140625" style="123"/>
    <col min="3328" max="3328" width="10.85546875" style="123" customWidth="1"/>
    <col min="3329" max="3330" width="8" style="123" customWidth="1"/>
    <col min="3331" max="3333" width="20.28515625" style="123" customWidth="1"/>
    <col min="3334" max="3334" width="34.140625" style="123" customWidth="1"/>
    <col min="3335" max="3335" width="21.28515625" style="123" customWidth="1"/>
    <col min="3336" max="3336" width="22.7109375" style="123" customWidth="1"/>
    <col min="3337" max="3337" width="36.7109375" style="123" customWidth="1"/>
    <col min="3338" max="3338" width="9.140625" style="123"/>
    <col min="3339" max="3339" width="5.7109375" style="123" customWidth="1"/>
    <col min="3340" max="3340" width="6.42578125" style="123" customWidth="1"/>
    <col min="3341" max="3583" width="9.140625" style="123"/>
    <col min="3584" max="3584" width="10.85546875" style="123" customWidth="1"/>
    <col min="3585" max="3586" width="8" style="123" customWidth="1"/>
    <col min="3587" max="3589" width="20.28515625" style="123" customWidth="1"/>
    <col min="3590" max="3590" width="34.140625" style="123" customWidth="1"/>
    <col min="3591" max="3591" width="21.28515625" style="123" customWidth="1"/>
    <col min="3592" max="3592" width="22.7109375" style="123" customWidth="1"/>
    <col min="3593" max="3593" width="36.7109375" style="123" customWidth="1"/>
    <col min="3594" max="3594" width="9.140625" style="123"/>
    <col min="3595" max="3595" width="5.7109375" style="123" customWidth="1"/>
    <col min="3596" max="3596" width="6.42578125" style="123" customWidth="1"/>
    <col min="3597" max="3839" width="9.140625" style="123"/>
    <col min="3840" max="3840" width="10.85546875" style="123" customWidth="1"/>
    <col min="3841" max="3842" width="8" style="123" customWidth="1"/>
    <col min="3843" max="3845" width="20.28515625" style="123" customWidth="1"/>
    <col min="3846" max="3846" width="34.140625" style="123" customWidth="1"/>
    <col min="3847" max="3847" width="21.28515625" style="123" customWidth="1"/>
    <col min="3848" max="3848" width="22.7109375" style="123" customWidth="1"/>
    <col min="3849" max="3849" width="36.7109375" style="123" customWidth="1"/>
    <col min="3850" max="3850" width="9.140625" style="123"/>
    <col min="3851" max="3851" width="5.7109375" style="123" customWidth="1"/>
    <col min="3852" max="3852" width="6.42578125" style="123" customWidth="1"/>
    <col min="3853" max="4095" width="9.140625" style="123"/>
    <col min="4096" max="4096" width="10.85546875" style="123" customWidth="1"/>
    <col min="4097" max="4098" width="8" style="123" customWidth="1"/>
    <col min="4099" max="4101" width="20.28515625" style="123" customWidth="1"/>
    <col min="4102" max="4102" width="34.140625" style="123" customWidth="1"/>
    <col min="4103" max="4103" width="21.28515625" style="123" customWidth="1"/>
    <col min="4104" max="4104" width="22.7109375" style="123" customWidth="1"/>
    <col min="4105" max="4105" width="36.7109375" style="123" customWidth="1"/>
    <col min="4106" max="4106" width="9.140625" style="123"/>
    <col min="4107" max="4107" width="5.7109375" style="123" customWidth="1"/>
    <col min="4108" max="4108" width="6.42578125" style="123" customWidth="1"/>
    <col min="4109" max="4351" width="9.140625" style="123"/>
    <col min="4352" max="4352" width="10.85546875" style="123" customWidth="1"/>
    <col min="4353" max="4354" width="8" style="123" customWidth="1"/>
    <col min="4355" max="4357" width="20.28515625" style="123" customWidth="1"/>
    <col min="4358" max="4358" width="34.140625" style="123" customWidth="1"/>
    <col min="4359" max="4359" width="21.28515625" style="123" customWidth="1"/>
    <col min="4360" max="4360" width="22.7109375" style="123" customWidth="1"/>
    <col min="4361" max="4361" width="36.7109375" style="123" customWidth="1"/>
    <col min="4362" max="4362" width="9.140625" style="123"/>
    <col min="4363" max="4363" width="5.7109375" style="123" customWidth="1"/>
    <col min="4364" max="4364" width="6.42578125" style="123" customWidth="1"/>
    <col min="4365" max="4607" width="9.140625" style="123"/>
    <col min="4608" max="4608" width="10.85546875" style="123" customWidth="1"/>
    <col min="4609" max="4610" width="8" style="123" customWidth="1"/>
    <col min="4611" max="4613" width="20.28515625" style="123" customWidth="1"/>
    <col min="4614" max="4614" width="34.140625" style="123" customWidth="1"/>
    <col min="4615" max="4615" width="21.28515625" style="123" customWidth="1"/>
    <col min="4616" max="4616" width="22.7109375" style="123" customWidth="1"/>
    <col min="4617" max="4617" width="36.7109375" style="123" customWidth="1"/>
    <col min="4618" max="4618" width="9.140625" style="123"/>
    <col min="4619" max="4619" width="5.7109375" style="123" customWidth="1"/>
    <col min="4620" max="4620" width="6.42578125" style="123" customWidth="1"/>
    <col min="4621" max="4863" width="9.140625" style="123"/>
    <col min="4864" max="4864" width="10.85546875" style="123" customWidth="1"/>
    <col min="4865" max="4866" width="8" style="123" customWidth="1"/>
    <col min="4867" max="4869" width="20.28515625" style="123" customWidth="1"/>
    <col min="4870" max="4870" width="34.140625" style="123" customWidth="1"/>
    <col min="4871" max="4871" width="21.28515625" style="123" customWidth="1"/>
    <col min="4872" max="4872" width="22.7109375" style="123" customWidth="1"/>
    <col min="4873" max="4873" width="36.7109375" style="123" customWidth="1"/>
    <col min="4874" max="4874" width="9.140625" style="123"/>
    <col min="4875" max="4875" width="5.7109375" style="123" customWidth="1"/>
    <col min="4876" max="4876" width="6.42578125" style="123" customWidth="1"/>
    <col min="4877" max="5119" width="9.140625" style="123"/>
    <col min="5120" max="5120" width="10.85546875" style="123" customWidth="1"/>
    <col min="5121" max="5122" width="8" style="123" customWidth="1"/>
    <col min="5123" max="5125" width="20.28515625" style="123" customWidth="1"/>
    <col min="5126" max="5126" width="34.140625" style="123" customWidth="1"/>
    <col min="5127" max="5127" width="21.28515625" style="123" customWidth="1"/>
    <col min="5128" max="5128" width="22.7109375" style="123" customWidth="1"/>
    <col min="5129" max="5129" width="36.7109375" style="123" customWidth="1"/>
    <col min="5130" max="5130" width="9.140625" style="123"/>
    <col min="5131" max="5131" width="5.7109375" style="123" customWidth="1"/>
    <col min="5132" max="5132" width="6.42578125" style="123" customWidth="1"/>
    <col min="5133" max="5375" width="9.140625" style="123"/>
    <col min="5376" max="5376" width="10.85546875" style="123" customWidth="1"/>
    <col min="5377" max="5378" width="8" style="123" customWidth="1"/>
    <col min="5379" max="5381" width="20.28515625" style="123" customWidth="1"/>
    <col min="5382" max="5382" width="34.140625" style="123" customWidth="1"/>
    <col min="5383" max="5383" width="21.28515625" style="123" customWidth="1"/>
    <col min="5384" max="5384" width="22.7109375" style="123" customWidth="1"/>
    <col min="5385" max="5385" width="36.7109375" style="123" customWidth="1"/>
    <col min="5386" max="5386" width="9.140625" style="123"/>
    <col min="5387" max="5387" width="5.7109375" style="123" customWidth="1"/>
    <col min="5388" max="5388" width="6.42578125" style="123" customWidth="1"/>
    <col min="5389" max="5631" width="9.140625" style="123"/>
    <col min="5632" max="5632" width="10.85546875" style="123" customWidth="1"/>
    <col min="5633" max="5634" width="8" style="123" customWidth="1"/>
    <col min="5635" max="5637" width="20.28515625" style="123" customWidth="1"/>
    <col min="5638" max="5638" width="34.140625" style="123" customWidth="1"/>
    <col min="5639" max="5639" width="21.28515625" style="123" customWidth="1"/>
    <col min="5640" max="5640" width="22.7109375" style="123" customWidth="1"/>
    <col min="5641" max="5641" width="36.7109375" style="123" customWidth="1"/>
    <col min="5642" max="5642" width="9.140625" style="123"/>
    <col min="5643" max="5643" width="5.7109375" style="123" customWidth="1"/>
    <col min="5644" max="5644" width="6.42578125" style="123" customWidth="1"/>
    <col min="5645" max="5887" width="9.140625" style="123"/>
    <col min="5888" max="5888" width="10.85546875" style="123" customWidth="1"/>
    <col min="5889" max="5890" width="8" style="123" customWidth="1"/>
    <col min="5891" max="5893" width="20.28515625" style="123" customWidth="1"/>
    <col min="5894" max="5894" width="34.140625" style="123" customWidth="1"/>
    <col min="5895" max="5895" width="21.28515625" style="123" customWidth="1"/>
    <col min="5896" max="5896" width="22.7109375" style="123" customWidth="1"/>
    <col min="5897" max="5897" width="36.7109375" style="123" customWidth="1"/>
    <col min="5898" max="5898" width="9.140625" style="123"/>
    <col min="5899" max="5899" width="5.7109375" style="123" customWidth="1"/>
    <col min="5900" max="5900" width="6.42578125" style="123" customWidth="1"/>
    <col min="5901" max="6143" width="9.140625" style="123"/>
    <col min="6144" max="6144" width="10.85546875" style="123" customWidth="1"/>
    <col min="6145" max="6146" width="8" style="123" customWidth="1"/>
    <col min="6147" max="6149" width="20.28515625" style="123" customWidth="1"/>
    <col min="6150" max="6150" width="34.140625" style="123" customWidth="1"/>
    <col min="6151" max="6151" width="21.28515625" style="123" customWidth="1"/>
    <col min="6152" max="6152" width="22.7109375" style="123" customWidth="1"/>
    <col min="6153" max="6153" width="36.7109375" style="123" customWidth="1"/>
    <col min="6154" max="6154" width="9.140625" style="123"/>
    <col min="6155" max="6155" width="5.7109375" style="123" customWidth="1"/>
    <col min="6156" max="6156" width="6.42578125" style="123" customWidth="1"/>
    <col min="6157" max="6399" width="9.140625" style="123"/>
    <col min="6400" max="6400" width="10.85546875" style="123" customWidth="1"/>
    <col min="6401" max="6402" width="8" style="123" customWidth="1"/>
    <col min="6403" max="6405" width="20.28515625" style="123" customWidth="1"/>
    <col min="6406" max="6406" width="34.140625" style="123" customWidth="1"/>
    <col min="6407" max="6407" width="21.28515625" style="123" customWidth="1"/>
    <col min="6408" max="6408" width="22.7109375" style="123" customWidth="1"/>
    <col min="6409" max="6409" width="36.7109375" style="123" customWidth="1"/>
    <col min="6410" max="6410" width="9.140625" style="123"/>
    <col min="6411" max="6411" width="5.7109375" style="123" customWidth="1"/>
    <col min="6412" max="6412" width="6.42578125" style="123" customWidth="1"/>
    <col min="6413" max="6655" width="9.140625" style="123"/>
    <col min="6656" max="6656" width="10.85546875" style="123" customWidth="1"/>
    <col min="6657" max="6658" width="8" style="123" customWidth="1"/>
    <col min="6659" max="6661" width="20.28515625" style="123" customWidth="1"/>
    <col min="6662" max="6662" width="34.140625" style="123" customWidth="1"/>
    <col min="6663" max="6663" width="21.28515625" style="123" customWidth="1"/>
    <col min="6664" max="6664" width="22.7109375" style="123" customWidth="1"/>
    <col min="6665" max="6665" width="36.7109375" style="123" customWidth="1"/>
    <col min="6666" max="6666" width="9.140625" style="123"/>
    <col min="6667" max="6667" width="5.7109375" style="123" customWidth="1"/>
    <col min="6668" max="6668" width="6.42578125" style="123" customWidth="1"/>
    <col min="6669" max="6911" width="9.140625" style="123"/>
    <col min="6912" max="6912" width="10.85546875" style="123" customWidth="1"/>
    <col min="6913" max="6914" width="8" style="123" customWidth="1"/>
    <col min="6915" max="6917" width="20.28515625" style="123" customWidth="1"/>
    <col min="6918" max="6918" width="34.140625" style="123" customWidth="1"/>
    <col min="6919" max="6919" width="21.28515625" style="123" customWidth="1"/>
    <col min="6920" max="6920" width="22.7109375" style="123" customWidth="1"/>
    <col min="6921" max="6921" width="36.7109375" style="123" customWidth="1"/>
    <col min="6922" max="6922" width="9.140625" style="123"/>
    <col min="6923" max="6923" width="5.7109375" style="123" customWidth="1"/>
    <col min="6924" max="6924" width="6.42578125" style="123" customWidth="1"/>
    <col min="6925" max="7167" width="9.140625" style="123"/>
    <col min="7168" max="7168" width="10.85546875" style="123" customWidth="1"/>
    <col min="7169" max="7170" width="8" style="123" customWidth="1"/>
    <col min="7171" max="7173" width="20.28515625" style="123" customWidth="1"/>
    <col min="7174" max="7174" width="34.140625" style="123" customWidth="1"/>
    <col min="7175" max="7175" width="21.28515625" style="123" customWidth="1"/>
    <col min="7176" max="7176" width="22.7109375" style="123" customWidth="1"/>
    <col min="7177" max="7177" width="36.7109375" style="123" customWidth="1"/>
    <col min="7178" max="7178" width="9.140625" style="123"/>
    <col min="7179" max="7179" width="5.7109375" style="123" customWidth="1"/>
    <col min="7180" max="7180" width="6.42578125" style="123" customWidth="1"/>
    <col min="7181" max="7423" width="9.140625" style="123"/>
    <col min="7424" max="7424" width="10.85546875" style="123" customWidth="1"/>
    <col min="7425" max="7426" width="8" style="123" customWidth="1"/>
    <col min="7427" max="7429" width="20.28515625" style="123" customWidth="1"/>
    <col min="7430" max="7430" width="34.140625" style="123" customWidth="1"/>
    <col min="7431" max="7431" width="21.28515625" style="123" customWidth="1"/>
    <col min="7432" max="7432" width="22.7109375" style="123" customWidth="1"/>
    <col min="7433" max="7433" width="36.7109375" style="123" customWidth="1"/>
    <col min="7434" max="7434" width="9.140625" style="123"/>
    <col min="7435" max="7435" width="5.7109375" style="123" customWidth="1"/>
    <col min="7436" max="7436" width="6.42578125" style="123" customWidth="1"/>
    <col min="7437" max="7679" width="9.140625" style="123"/>
    <col min="7680" max="7680" width="10.85546875" style="123" customWidth="1"/>
    <col min="7681" max="7682" width="8" style="123" customWidth="1"/>
    <col min="7683" max="7685" width="20.28515625" style="123" customWidth="1"/>
    <col min="7686" max="7686" width="34.140625" style="123" customWidth="1"/>
    <col min="7687" max="7687" width="21.28515625" style="123" customWidth="1"/>
    <col min="7688" max="7688" width="22.7109375" style="123" customWidth="1"/>
    <col min="7689" max="7689" width="36.7109375" style="123" customWidth="1"/>
    <col min="7690" max="7690" width="9.140625" style="123"/>
    <col min="7691" max="7691" width="5.7109375" style="123" customWidth="1"/>
    <col min="7692" max="7692" width="6.42578125" style="123" customWidth="1"/>
    <col min="7693" max="7935" width="9.140625" style="123"/>
    <col min="7936" max="7936" width="10.85546875" style="123" customWidth="1"/>
    <col min="7937" max="7938" width="8" style="123" customWidth="1"/>
    <col min="7939" max="7941" width="20.28515625" style="123" customWidth="1"/>
    <col min="7942" max="7942" width="34.140625" style="123" customWidth="1"/>
    <col min="7943" max="7943" width="21.28515625" style="123" customWidth="1"/>
    <col min="7944" max="7944" width="22.7109375" style="123" customWidth="1"/>
    <col min="7945" max="7945" width="36.7109375" style="123" customWidth="1"/>
    <col min="7946" max="7946" width="9.140625" style="123"/>
    <col min="7947" max="7947" width="5.7109375" style="123" customWidth="1"/>
    <col min="7948" max="7948" width="6.42578125" style="123" customWidth="1"/>
    <col min="7949" max="8191" width="9.140625" style="123"/>
    <col min="8192" max="8192" width="10.85546875" style="123" customWidth="1"/>
    <col min="8193" max="8194" width="8" style="123" customWidth="1"/>
    <col min="8195" max="8197" width="20.28515625" style="123" customWidth="1"/>
    <col min="8198" max="8198" width="34.140625" style="123" customWidth="1"/>
    <col min="8199" max="8199" width="21.28515625" style="123" customWidth="1"/>
    <col min="8200" max="8200" width="22.7109375" style="123" customWidth="1"/>
    <col min="8201" max="8201" width="36.7109375" style="123" customWidth="1"/>
    <col min="8202" max="8202" width="9.140625" style="123"/>
    <col min="8203" max="8203" width="5.7109375" style="123" customWidth="1"/>
    <col min="8204" max="8204" width="6.42578125" style="123" customWidth="1"/>
    <col min="8205" max="8447" width="9.140625" style="123"/>
    <col min="8448" max="8448" width="10.85546875" style="123" customWidth="1"/>
    <col min="8449" max="8450" width="8" style="123" customWidth="1"/>
    <col min="8451" max="8453" width="20.28515625" style="123" customWidth="1"/>
    <col min="8454" max="8454" width="34.140625" style="123" customWidth="1"/>
    <col min="8455" max="8455" width="21.28515625" style="123" customWidth="1"/>
    <col min="8456" max="8456" width="22.7109375" style="123" customWidth="1"/>
    <col min="8457" max="8457" width="36.7109375" style="123" customWidth="1"/>
    <col min="8458" max="8458" width="9.140625" style="123"/>
    <col min="8459" max="8459" width="5.7109375" style="123" customWidth="1"/>
    <col min="8460" max="8460" width="6.42578125" style="123" customWidth="1"/>
    <col min="8461" max="8703" width="9.140625" style="123"/>
    <col min="8704" max="8704" width="10.85546875" style="123" customWidth="1"/>
    <col min="8705" max="8706" width="8" style="123" customWidth="1"/>
    <col min="8707" max="8709" width="20.28515625" style="123" customWidth="1"/>
    <col min="8710" max="8710" width="34.140625" style="123" customWidth="1"/>
    <col min="8711" max="8711" width="21.28515625" style="123" customWidth="1"/>
    <col min="8712" max="8712" width="22.7109375" style="123" customWidth="1"/>
    <col min="8713" max="8713" width="36.7109375" style="123" customWidth="1"/>
    <col min="8714" max="8714" width="9.140625" style="123"/>
    <col min="8715" max="8715" width="5.7109375" style="123" customWidth="1"/>
    <col min="8716" max="8716" width="6.42578125" style="123" customWidth="1"/>
    <col min="8717" max="8959" width="9.140625" style="123"/>
    <col min="8960" max="8960" width="10.85546875" style="123" customWidth="1"/>
    <col min="8961" max="8962" width="8" style="123" customWidth="1"/>
    <col min="8963" max="8965" width="20.28515625" style="123" customWidth="1"/>
    <col min="8966" max="8966" width="34.140625" style="123" customWidth="1"/>
    <col min="8967" max="8967" width="21.28515625" style="123" customWidth="1"/>
    <col min="8968" max="8968" width="22.7109375" style="123" customWidth="1"/>
    <col min="8969" max="8969" width="36.7109375" style="123" customWidth="1"/>
    <col min="8970" max="8970" width="9.140625" style="123"/>
    <col min="8971" max="8971" width="5.7109375" style="123" customWidth="1"/>
    <col min="8972" max="8972" width="6.42578125" style="123" customWidth="1"/>
    <col min="8973" max="9215" width="9.140625" style="123"/>
    <col min="9216" max="9216" width="10.85546875" style="123" customWidth="1"/>
    <col min="9217" max="9218" width="8" style="123" customWidth="1"/>
    <col min="9219" max="9221" width="20.28515625" style="123" customWidth="1"/>
    <col min="9222" max="9222" width="34.140625" style="123" customWidth="1"/>
    <col min="9223" max="9223" width="21.28515625" style="123" customWidth="1"/>
    <col min="9224" max="9224" width="22.7109375" style="123" customWidth="1"/>
    <col min="9225" max="9225" width="36.7109375" style="123" customWidth="1"/>
    <col min="9226" max="9226" width="9.140625" style="123"/>
    <col min="9227" max="9227" width="5.7109375" style="123" customWidth="1"/>
    <col min="9228" max="9228" width="6.42578125" style="123" customWidth="1"/>
    <col min="9229" max="9471" width="9.140625" style="123"/>
    <col min="9472" max="9472" width="10.85546875" style="123" customWidth="1"/>
    <col min="9473" max="9474" width="8" style="123" customWidth="1"/>
    <col min="9475" max="9477" width="20.28515625" style="123" customWidth="1"/>
    <col min="9478" max="9478" width="34.140625" style="123" customWidth="1"/>
    <col min="9479" max="9479" width="21.28515625" style="123" customWidth="1"/>
    <col min="9480" max="9480" width="22.7109375" style="123" customWidth="1"/>
    <col min="9481" max="9481" width="36.7109375" style="123" customWidth="1"/>
    <col min="9482" max="9482" width="9.140625" style="123"/>
    <col min="9483" max="9483" width="5.7109375" style="123" customWidth="1"/>
    <col min="9484" max="9484" width="6.42578125" style="123" customWidth="1"/>
    <col min="9485" max="9727" width="9.140625" style="123"/>
    <col min="9728" max="9728" width="10.85546875" style="123" customWidth="1"/>
    <col min="9729" max="9730" width="8" style="123" customWidth="1"/>
    <col min="9731" max="9733" width="20.28515625" style="123" customWidth="1"/>
    <col min="9734" max="9734" width="34.140625" style="123" customWidth="1"/>
    <col min="9735" max="9735" width="21.28515625" style="123" customWidth="1"/>
    <col min="9736" max="9736" width="22.7109375" style="123" customWidth="1"/>
    <col min="9737" max="9737" width="36.7109375" style="123" customWidth="1"/>
    <col min="9738" max="9738" width="9.140625" style="123"/>
    <col min="9739" max="9739" width="5.7109375" style="123" customWidth="1"/>
    <col min="9740" max="9740" width="6.42578125" style="123" customWidth="1"/>
    <col min="9741" max="9983" width="9.140625" style="123"/>
    <col min="9984" max="9984" width="10.85546875" style="123" customWidth="1"/>
    <col min="9985" max="9986" width="8" style="123" customWidth="1"/>
    <col min="9987" max="9989" width="20.28515625" style="123" customWidth="1"/>
    <col min="9990" max="9990" width="34.140625" style="123" customWidth="1"/>
    <col min="9991" max="9991" width="21.28515625" style="123" customWidth="1"/>
    <col min="9992" max="9992" width="22.7109375" style="123" customWidth="1"/>
    <col min="9993" max="9993" width="36.7109375" style="123" customWidth="1"/>
    <col min="9994" max="9994" width="9.140625" style="123"/>
    <col min="9995" max="9995" width="5.7109375" style="123" customWidth="1"/>
    <col min="9996" max="9996" width="6.42578125" style="123" customWidth="1"/>
    <col min="9997" max="10239" width="9.140625" style="123"/>
    <col min="10240" max="10240" width="10.85546875" style="123" customWidth="1"/>
    <col min="10241" max="10242" width="8" style="123" customWidth="1"/>
    <col min="10243" max="10245" width="20.28515625" style="123" customWidth="1"/>
    <col min="10246" max="10246" width="34.140625" style="123" customWidth="1"/>
    <col min="10247" max="10247" width="21.28515625" style="123" customWidth="1"/>
    <col min="10248" max="10248" width="22.7109375" style="123" customWidth="1"/>
    <col min="10249" max="10249" width="36.7109375" style="123" customWidth="1"/>
    <col min="10250" max="10250" width="9.140625" style="123"/>
    <col min="10251" max="10251" width="5.7109375" style="123" customWidth="1"/>
    <col min="10252" max="10252" width="6.42578125" style="123" customWidth="1"/>
    <col min="10253" max="10495" width="9.140625" style="123"/>
    <col min="10496" max="10496" width="10.85546875" style="123" customWidth="1"/>
    <col min="10497" max="10498" width="8" style="123" customWidth="1"/>
    <col min="10499" max="10501" width="20.28515625" style="123" customWidth="1"/>
    <col min="10502" max="10502" width="34.140625" style="123" customWidth="1"/>
    <col min="10503" max="10503" width="21.28515625" style="123" customWidth="1"/>
    <col min="10504" max="10504" width="22.7109375" style="123" customWidth="1"/>
    <col min="10505" max="10505" width="36.7109375" style="123" customWidth="1"/>
    <col min="10506" max="10506" width="9.140625" style="123"/>
    <col min="10507" max="10507" width="5.7109375" style="123" customWidth="1"/>
    <col min="10508" max="10508" width="6.42578125" style="123" customWidth="1"/>
    <col min="10509" max="10751" width="9.140625" style="123"/>
    <col min="10752" max="10752" width="10.85546875" style="123" customWidth="1"/>
    <col min="10753" max="10754" width="8" style="123" customWidth="1"/>
    <col min="10755" max="10757" width="20.28515625" style="123" customWidth="1"/>
    <col min="10758" max="10758" width="34.140625" style="123" customWidth="1"/>
    <col min="10759" max="10759" width="21.28515625" style="123" customWidth="1"/>
    <col min="10760" max="10760" width="22.7109375" style="123" customWidth="1"/>
    <col min="10761" max="10761" width="36.7109375" style="123" customWidth="1"/>
    <col min="10762" max="10762" width="9.140625" style="123"/>
    <col min="10763" max="10763" width="5.7109375" style="123" customWidth="1"/>
    <col min="10764" max="10764" width="6.42578125" style="123" customWidth="1"/>
    <col min="10765" max="11007" width="9.140625" style="123"/>
    <col min="11008" max="11008" width="10.85546875" style="123" customWidth="1"/>
    <col min="11009" max="11010" width="8" style="123" customWidth="1"/>
    <col min="11011" max="11013" width="20.28515625" style="123" customWidth="1"/>
    <col min="11014" max="11014" width="34.140625" style="123" customWidth="1"/>
    <col min="11015" max="11015" width="21.28515625" style="123" customWidth="1"/>
    <col min="11016" max="11016" width="22.7109375" style="123" customWidth="1"/>
    <col min="11017" max="11017" width="36.7109375" style="123" customWidth="1"/>
    <col min="11018" max="11018" width="9.140625" style="123"/>
    <col min="11019" max="11019" width="5.7109375" style="123" customWidth="1"/>
    <col min="11020" max="11020" width="6.42578125" style="123" customWidth="1"/>
    <col min="11021" max="11263" width="9.140625" style="123"/>
    <col min="11264" max="11264" width="10.85546875" style="123" customWidth="1"/>
    <col min="11265" max="11266" width="8" style="123" customWidth="1"/>
    <col min="11267" max="11269" width="20.28515625" style="123" customWidth="1"/>
    <col min="11270" max="11270" width="34.140625" style="123" customWidth="1"/>
    <col min="11271" max="11271" width="21.28515625" style="123" customWidth="1"/>
    <col min="11272" max="11272" width="22.7109375" style="123" customWidth="1"/>
    <col min="11273" max="11273" width="36.7109375" style="123" customWidth="1"/>
    <col min="11274" max="11274" width="9.140625" style="123"/>
    <col min="11275" max="11275" width="5.7109375" style="123" customWidth="1"/>
    <col min="11276" max="11276" width="6.42578125" style="123" customWidth="1"/>
    <col min="11277" max="11519" width="9.140625" style="123"/>
    <col min="11520" max="11520" width="10.85546875" style="123" customWidth="1"/>
    <col min="11521" max="11522" width="8" style="123" customWidth="1"/>
    <col min="11523" max="11525" width="20.28515625" style="123" customWidth="1"/>
    <col min="11526" max="11526" width="34.140625" style="123" customWidth="1"/>
    <col min="11527" max="11527" width="21.28515625" style="123" customWidth="1"/>
    <col min="11528" max="11528" width="22.7109375" style="123" customWidth="1"/>
    <col min="11529" max="11529" width="36.7109375" style="123" customWidth="1"/>
    <col min="11530" max="11530" width="9.140625" style="123"/>
    <col min="11531" max="11531" width="5.7109375" style="123" customWidth="1"/>
    <col min="11532" max="11532" width="6.42578125" style="123" customWidth="1"/>
    <col min="11533" max="11775" width="9.140625" style="123"/>
    <col min="11776" max="11776" width="10.85546875" style="123" customWidth="1"/>
    <col min="11777" max="11778" width="8" style="123" customWidth="1"/>
    <col min="11779" max="11781" width="20.28515625" style="123" customWidth="1"/>
    <col min="11782" max="11782" width="34.140625" style="123" customWidth="1"/>
    <col min="11783" max="11783" width="21.28515625" style="123" customWidth="1"/>
    <col min="11784" max="11784" width="22.7109375" style="123" customWidth="1"/>
    <col min="11785" max="11785" width="36.7109375" style="123" customWidth="1"/>
    <col min="11786" max="11786" width="9.140625" style="123"/>
    <col min="11787" max="11787" width="5.7109375" style="123" customWidth="1"/>
    <col min="11788" max="11788" width="6.42578125" style="123" customWidth="1"/>
    <col min="11789" max="12031" width="9.140625" style="123"/>
    <col min="12032" max="12032" width="10.85546875" style="123" customWidth="1"/>
    <col min="12033" max="12034" width="8" style="123" customWidth="1"/>
    <col min="12035" max="12037" width="20.28515625" style="123" customWidth="1"/>
    <col min="12038" max="12038" width="34.140625" style="123" customWidth="1"/>
    <col min="12039" max="12039" width="21.28515625" style="123" customWidth="1"/>
    <col min="12040" max="12040" width="22.7109375" style="123" customWidth="1"/>
    <col min="12041" max="12041" width="36.7109375" style="123" customWidth="1"/>
    <col min="12042" max="12042" width="9.140625" style="123"/>
    <col min="12043" max="12043" width="5.7109375" style="123" customWidth="1"/>
    <col min="12044" max="12044" width="6.42578125" style="123" customWidth="1"/>
    <col min="12045" max="12287" width="9.140625" style="123"/>
    <col min="12288" max="12288" width="10.85546875" style="123" customWidth="1"/>
    <col min="12289" max="12290" width="8" style="123" customWidth="1"/>
    <col min="12291" max="12293" width="20.28515625" style="123" customWidth="1"/>
    <col min="12294" max="12294" width="34.140625" style="123" customWidth="1"/>
    <col min="12295" max="12295" width="21.28515625" style="123" customWidth="1"/>
    <col min="12296" max="12296" width="22.7109375" style="123" customWidth="1"/>
    <col min="12297" max="12297" width="36.7109375" style="123" customWidth="1"/>
    <col min="12298" max="12298" width="9.140625" style="123"/>
    <col min="12299" max="12299" width="5.7109375" style="123" customWidth="1"/>
    <col min="12300" max="12300" width="6.42578125" style="123" customWidth="1"/>
    <col min="12301" max="12543" width="9.140625" style="123"/>
    <col min="12544" max="12544" width="10.85546875" style="123" customWidth="1"/>
    <col min="12545" max="12546" width="8" style="123" customWidth="1"/>
    <col min="12547" max="12549" width="20.28515625" style="123" customWidth="1"/>
    <col min="12550" max="12550" width="34.140625" style="123" customWidth="1"/>
    <col min="12551" max="12551" width="21.28515625" style="123" customWidth="1"/>
    <col min="12552" max="12552" width="22.7109375" style="123" customWidth="1"/>
    <col min="12553" max="12553" width="36.7109375" style="123" customWidth="1"/>
    <col min="12554" max="12554" width="9.140625" style="123"/>
    <col min="12555" max="12555" width="5.7109375" style="123" customWidth="1"/>
    <col min="12556" max="12556" width="6.42578125" style="123" customWidth="1"/>
    <col min="12557" max="12799" width="9.140625" style="123"/>
    <col min="12800" max="12800" width="10.85546875" style="123" customWidth="1"/>
    <col min="12801" max="12802" width="8" style="123" customWidth="1"/>
    <col min="12803" max="12805" width="20.28515625" style="123" customWidth="1"/>
    <col min="12806" max="12806" width="34.140625" style="123" customWidth="1"/>
    <col min="12807" max="12807" width="21.28515625" style="123" customWidth="1"/>
    <col min="12808" max="12808" width="22.7109375" style="123" customWidth="1"/>
    <col min="12809" max="12809" width="36.7109375" style="123" customWidth="1"/>
    <col min="12810" max="12810" width="9.140625" style="123"/>
    <col min="12811" max="12811" width="5.7109375" style="123" customWidth="1"/>
    <col min="12812" max="12812" width="6.42578125" style="123" customWidth="1"/>
    <col min="12813" max="13055" width="9.140625" style="123"/>
    <col min="13056" max="13056" width="10.85546875" style="123" customWidth="1"/>
    <col min="13057" max="13058" width="8" style="123" customWidth="1"/>
    <col min="13059" max="13061" width="20.28515625" style="123" customWidth="1"/>
    <col min="13062" max="13062" width="34.140625" style="123" customWidth="1"/>
    <col min="13063" max="13063" width="21.28515625" style="123" customWidth="1"/>
    <col min="13064" max="13064" width="22.7109375" style="123" customWidth="1"/>
    <col min="13065" max="13065" width="36.7109375" style="123" customWidth="1"/>
    <col min="13066" max="13066" width="9.140625" style="123"/>
    <col min="13067" max="13067" width="5.7109375" style="123" customWidth="1"/>
    <col min="13068" max="13068" width="6.42578125" style="123" customWidth="1"/>
    <col min="13069" max="13311" width="9.140625" style="123"/>
    <col min="13312" max="13312" width="10.85546875" style="123" customWidth="1"/>
    <col min="13313" max="13314" width="8" style="123" customWidth="1"/>
    <col min="13315" max="13317" width="20.28515625" style="123" customWidth="1"/>
    <col min="13318" max="13318" width="34.140625" style="123" customWidth="1"/>
    <col min="13319" max="13319" width="21.28515625" style="123" customWidth="1"/>
    <col min="13320" max="13320" width="22.7109375" style="123" customWidth="1"/>
    <col min="13321" max="13321" width="36.7109375" style="123" customWidth="1"/>
    <col min="13322" max="13322" width="9.140625" style="123"/>
    <col min="13323" max="13323" width="5.7109375" style="123" customWidth="1"/>
    <col min="13324" max="13324" width="6.42578125" style="123" customWidth="1"/>
    <col min="13325" max="13567" width="9.140625" style="123"/>
    <col min="13568" max="13568" width="10.85546875" style="123" customWidth="1"/>
    <col min="13569" max="13570" width="8" style="123" customWidth="1"/>
    <col min="13571" max="13573" width="20.28515625" style="123" customWidth="1"/>
    <col min="13574" max="13574" width="34.140625" style="123" customWidth="1"/>
    <col min="13575" max="13575" width="21.28515625" style="123" customWidth="1"/>
    <col min="13576" max="13576" width="22.7109375" style="123" customWidth="1"/>
    <col min="13577" max="13577" width="36.7109375" style="123" customWidth="1"/>
    <col min="13578" max="13578" width="9.140625" style="123"/>
    <col min="13579" max="13579" width="5.7109375" style="123" customWidth="1"/>
    <col min="13580" max="13580" width="6.42578125" style="123" customWidth="1"/>
    <col min="13581" max="13823" width="9.140625" style="123"/>
    <col min="13824" max="13824" width="10.85546875" style="123" customWidth="1"/>
    <col min="13825" max="13826" width="8" style="123" customWidth="1"/>
    <col min="13827" max="13829" width="20.28515625" style="123" customWidth="1"/>
    <col min="13830" max="13830" width="34.140625" style="123" customWidth="1"/>
    <col min="13831" max="13831" width="21.28515625" style="123" customWidth="1"/>
    <col min="13832" max="13832" width="22.7109375" style="123" customWidth="1"/>
    <col min="13833" max="13833" width="36.7109375" style="123" customWidth="1"/>
    <col min="13834" max="13834" width="9.140625" style="123"/>
    <col min="13835" max="13835" width="5.7109375" style="123" customWidth="1"/>
    <col min="13836" max="13836" width="6.42578125" style="123" customWidth="1"/>
    <col min="13837" max="14079" width="9.140625" style="123"/>
    <col min="14080" max="14080" width="10.85546875" style="123" customWidth="1"/>
    <col min="14081" max="14082" width="8" style="123" customWidth="1"/>
    <col min="14083" max="14085" width="20.28515625" style="123" customWidth="1"/>
    <col min="14086" max="14086" width="34.140625" style="123" customWidth="1"/>
    <col min="14087" max="14087" width="21.28515625" style="123" customWidth="1"/>
    <col min="14088" max="14088" width="22.7109375" style="123" customWidth="1"/>
    <col min="14089" max="14089" width="36.7109375" style="123" customWidth="1"/>
    <col min="14090" max="14090" width="9.140625" style="123"/>
    <col min="14091" max="14091" width="5.7109375" style="123" customWidth="1"/>
    <col min="14092" max="14092" width="6.42578125" style="123" customWidth="1"/>
    <col min="14093" max="14335" width="9.140625" style="123"/>
    <col min="14336" max="14336" width="10.85546875" style="123" customWidth="1"/>
    <col min="14337" max="14338" width="8" style="123" customWidth="1"/>
    <col min="14339" max="14341" width="20.28515625" style="123" customWidth="1"/>
    <col min="14342" max="14342" width="34.140625" style="123" customWidth="1"/>
    <col min="14343" max="14343" width="21.28515625" style="123" customWidth="1"/>
    <col min="14344" max="14344" width="22.7109375" style="123" customWidth="1"/>
    <col min="14345" max="14345" width="36.7109375" style="123" customWidth="1"/>
    <col min="14346" max="14346" width="9.140625" style="123"/>
    <col min="14347" max="14347" width="5.7109375" style="123" customWidth="1"/>
    <col min="14348" max="14348" width="6.42578125" style="123" customWidth="1"/>
    <col min="14349" max="14591" width="9.140625" style="123"/>
    <col min="14592" max="14592" width="10.85546875" style="123" customWidth="1"/>
    <col min="14593" max="14594" width="8" style="123" customWidth="1"/>
    <col min="14595" max="14597" width="20.28515625" style="123" customWidth="1"/>
    <col min="14598" max="14598" width="34.140625" style="123" customWidth="1"/>
    <col min="14599" max="14599" width="21.28515625" style="123" customWidth="1"/>
    <col min="14600" max="14600" width="22.7109375" style="123" customWidth="1"/>
    <col min="14601" max="14601" width="36.7109375" style="123" customWidth="1"/>
    <col min="14602" max="14602" width="9.140625" style="123"/>
    <col min="14603" max="14603" width="5.7109375" style="123" customWidth="1"/>
    <col min="14604" max="14604" width="6.42578125" style="123" customWidth="1"/>
    <col min="14605" max="14847" width="9.140625" style="123"/>
    <col min="14848" max="14848" width="10.85546875" style="123" customWidth="1"/>
    <col min="14849" max="14850" width="8" style="123" customWidth="1"/>
    <col min="14851" max="14853" width="20.28515625" style="123" customWidth="1"/>
    <col min="14854" max="14854" width="34.140625" style="123" customWidth="1"/>
    <col min="14855" max="14855" width="21.28515625" style="123" customWidth="1"/>
    <col min="14856" max="14856" width="22.7109375" style="123" customWidth="1"/>
    <col min="14857" max="14857" width="36.7109375" style="123" customWidth="1"/>
    <col min="14858" max="14858" width="9.140625" style="123"/>
    <col min="14859" max="14859" width="5.7109375" style="123" customWidth="1"/>
    <col min="14860" max="14860" width="6.42578125" style="123" customWidth="1"/>
    <col min="14861" max="15103" width="9.140625" style="123"/>
    <col min="15104" max="15104" width="10.85546875" style="123" customWidth="1"/>
    <col min="15105" max="15106" width="8" style="123" customWidth="1"/>
    <col min="15107" max="15109" width="20.28515625" style="123" customWidth="1"/>
    <col min="15110" max="15110" width="34.140625" style="123" customWidth="1"/>
    <col min="15111" max="15111" width="21.28515625" style="123" customWidth="1"/>
    <col min="15112" max="15112" width="22.7109375" style="123" customWidth="1"/>
    <col min="15113" max="15113" width="36.7109375" style="123" customWidth="1"/>
    <col min="15114" max="15114" width="9.140625" style="123"/>
    <col min="15115" max="15115" width="5.7109375" style="123" customWidth="1"/>
    <col min="15116" max="15116" width="6.42578125" style="123" customWidth="1"/>
    <col min="15117" max="15359" width="9.140625" style="123"/>
    <col min="15360" max="15360" width="10.85546875" style="123" customWidth="1"/>
    <col min="15361" max="15362" width="8" style="123" customWidth="1"/>
    <col min="15363" max="15365" width="20.28515625" style="123" customWidth="1"/>
    <col min="15366" max="15366" width="34.140625" style="123" customWidth="1"/>
    <col min="15367" max="15367" width="21.28515625" style="123" customWidth="1"/>
    <col min="15368" max="15368" width="22.7109375" style="123" customWidth="1"/>
    <col min="15369" max="15369" width="36.7109375" style="123" customWidth="1"/>
    <col min="15370" max="15370" width="9.140625" style="123"/>
    <col min="15371" max="15371" width="5.7109375" style="123" customWidth="1"/>
    <col min="15372" max="15372" width="6.42578125" style="123" customWidth="1"/>
    <col min="15373" max="15615" width="9.140625" style="123"/>
    <col min="15616" max="15616" width="10.85546875" style="123" customWidth="1"/>
    <col min="15617" max="15618" width="8" style="123" customWidth="1"/>
    <col min="15619" max="15621" width="20.28515625" style="123" customWidth="1"/>
    <col min="15622" max="15622" width="34.140625" style="123" customWidth="1"/>
    <col min="15623" max="15623" width="21.28515625" style="123" customWidth="1"/>
    <col min="15624" max="15624" width="22.7109375" style="123" customWidth="1"/>
    <col min="15625" max="15625" width="36.7109375" style="123" customWidth="1"/>
    <col min="15626" max="15626" width="9.140625" style="123"/>
    <col min="15627" max="15627" width="5.7109375" style="123" customWidth="1"/>
    <col min="15628" max="15628" width="6.42578125" style="123" customWidth="1"/>
    <col min="15629" max="15871" width="9.140625" style="123"/>
    <col min="15872" max="15872" width="10.85546875" style="123" customWidth="1"/>
    <col min="15873" max="15874" width="8" style="123" customWidth="1"/>
    <col min="15875" max="15877" width="20.28515625" style="123" customWidth="1"/>
    <col min="15878" max="15878" width="34.140625" style="123" customWidth="1"/>
    <col min="15879" max="15879" width="21.28515625" style="123" customWidth="1"/>
    <col min="15880" max="15880" width="22.7109375" style="123" customWidth="1"/>
    <col min="15881" max="15881" width="36.7109375" style="123" customWidth="1"/>
    <col min="15882" max="15882" width="9.140625" style="123"/>
    <col min="15883" max="15883" width="5.7109375" style="123" customWidth="1"/>
    <col min="15884" max="15884" width="6.42578125" style="123" customWidth="1"/>
    <col min="15885" max="16127" width="9.140625" style="123"/>
    <col min="16128" max="16128" width="10.85546875" style="123" customWidth="1"/>
    <col min="16129" max="16130" width="8" style="123" customWidth="1"/>
    <col min="16131" max="16133" width="20.28515625" style="123" customWidth="1"/>
    <col min="16134" max="16134" width="34.140625" style="123" customWidth="1"/>
    <col min="16135" max="16135" width="21.28515625" style="123" customWidth="1"/>
    <col min="16136" max="16136" width="22.7109375" style="123" customWidth="1"/>
    <col min="16137" max="16137" width="36.7109375" style="123" customWidth="1"/>
    <col min="16138" max="16138" width="9.140625" style="123"/>
    <col min="16139" max="16139" width="5.7109375" style="123" customWidth="1"/>
    <col min="16140" max="16140" width="6.42578125" style="123" customWidth="1"/>
    <col min="16141" max="16384" width="9.140625" style="123"/>
  </cols>
  <sheetData>
    <row r="1" spans="1:12" customFormat="1" ht="25.5" customHeight="1" x14ac:dyDescent="0.25">
      <c r="A1" s="279" t="s">
        <v>663</v>
      </c>
      <c r="B1" s="279"/>
      <c r="C1" s="279"/>
      <c r="D1" s="279"/>
      <c r="E1" s="279"/>
      <c r="F1" s="279"/>
      <c r="G1" s="279"/>
      <c r="H1" s="279"/>
      <c r="I1" s="279"/>
      <c r="J1" s="279"/>
      <c r="K1" s="3"/>
      <c r="L1" s="1"/>
    </row>
    <row r="2" spans="1:12" customFormat="1" ht="24.75" x14ac:dyDescent="0.3">
      <c r="A2" s="280"/>
      <c r="B2" s="280"/>
      <c r="C2" s="280"/>
      <c r="D2" s="280"/>
      <c r="E2" s="280"/>
      <c r="F2" s="280"/>
      <c r="G2" s="280"/>
      <c r="H2" s="280"/>
      <c r="I2" s="280"/>
      <c r="J2" s="280"/>
      <c r="K2" s="6"/>
      <c r="L2" s="4"/>
    </row>
    <row r="3" spans="1:12" customFormat="1" ht="12.75" customHeight="1" x14ac:dyDescent="0.25">
      <c r="A3" s="5"/>
      <c r="B3" s="14"/>
      <c r="C3" s="14"/>
      <c r="D3" s="4"/>
      <c r="E3" s="4"/>
      <c r="F3" s="4"/>
      <c r="G3" s="4"/>
      <c r="H3" s="4"/>
      <c r="I3" s="4"/>
      <c r="J3" s="4"/>
      <c r="K3" s="4"/>
      <c r="L3" s="4"/>
    </row>
    <row r="4" spans="1:12" customFormat="1" ht="12.75" customHeight="1" x14ac:dyDescent="0.25">
      <c r="A4" s="5"/>
      <c r="B4" s="14"/>
      <c r="C4" s="14"/>
      <c r="D4" s="4"/>
      <c r="E4" s="4"/>
      <c r="F4" s="4"/>
      <c r="G4" s="4"/>
      <c r="H4" s="4"/>
      <c r="I4" s="4"/>
      <c r="J4" s="4"/>
      <c r="K4" s="197" t="s">
        <v>588</v>
      </c>
      <c r="L4" s="4"/>
    </row>
    <row r="5" spans="1:12" customFormat="1" ht="12.75" customHeight="1" x14ac:dyDescent="0.25">
      <c r="A5" s="5"/>
      <c r="B5" s="14"/>
      <c r="C5" s="14"/>
      <c r="D5" s="4"/>
      <c r="E5" s="180">
        <v>45769</v>
      </c>
      <c r="F5" s="180">
        <v>45800</v>
      </c>
      <c r="G5" s="4"/>
      <c r="H5" s="4"/>
      <c r="I5" s="4"/>
      <c r="J5" s="4"/>
      <c r="K5" s="128" t="s">
        <v>589</v>
      </c>
      <c r="L5" s="4"/>
    </row>
    <row r="6" spans="1:12" customFormat="1" ht="12.75" customHeight="1" thickBot="1" x14ac:dyDescent="0.3">
      <c r="A6" s="5"/>
      <c r="B6" s="14"/>
      <c r="C6" s="14"/>
      <c r="D6" s="4"/>
      <c r="E6" s="4"/>
      <c r="F6" s="4"/>
      <c r="G6" s="4"/>
      <c r="H6" s="4"/>
      <c r="I6" s="4"/>
      <c r="J6" s="4"/>
      <c r="K6" s="129" t="s">
        <v>650</v>
      </c>
      <c r="L6" s="4"/>
    </row>
    <row r="7" spans="1:12" customFormat="1" ht="42" thickBot="1" x14ac:dyDescent="0.35">
      <c r="A7" s="193" t="s">
        <v>1</v>
      </c>
      <c r="B7" s="194" t="s">
        <v>2</v>
      </c>
      <c r="C7" s="194" t="s">
        <v>3</v>
      </c>
      <c r="D7" s="195" t="s">
        <v>4</v>
      </c>
      <c r="E7" s="195" t="s">
        <v>5</v>
      </c>
      <c r="F7" s="195" t="s">
        <v>6</v>
      </c>
      <c r="G7" s="194" t="s">
        <v>535</v>
      </c>
      <c r="H7" s="194" t="s">
        <v>7</v>
      </c>
      <c r="I7" s="194" t="s">
        <v>8</v>
      </c>
      <c r="J7" s="194" t="s">
        <v>9</v>
      </c>
      <c r="K7" s="20"/>
      <c r="L7" s="21"/>
    </row>
    <row r="8" spans="1:12" s="124" customFormat="1" ht="21.95" customHeight="1" thickTop="1" x14ac:dyDescent="0.25">
      <c r="A8" s="239" t="s">
        <v>10</v>
      </c>
      <c r="B8" s="130">
        <v>132</v>
      </c>
      <c r="C8" s="131">
        <v>3000</v>
      </c>
      <c r="D8" s="132">
        <v>44386</v>
      </c>
      <c r="E8" s="132" t="s">
        <v>543</v>
      </c>
      <c r="F8" s="132" t="s">
        <v>548</v>
      </c>
      <c r="G8" s="133" t="s">
        <v>12</v>
      </c>
      <c r="H8" s="133" t="s">
        <v>11</v>
      </c>
      <c r="I8" s="133"/>
      <c r="J8" s="134" t="s">
        <v>13</v>
      </c>
      <c r="K8" s="240"/>
      <c r="L8" s="241"/>
    </row>
    <row r="9" spans="1:12" s="124" customFormat="1" ht="21.95" customHeight="1" x14ac:dyDescent="0.25">
      <c r="A9" s="242" t="str">
        <f>A8</f>
        <v>EM.0001</v>
      </c>
      <c r="B9" s="135">
        <f t="shared" ref="B9:C9" si="0">B8</f>
        <v>132</v>
      </c>
      <c r="C9" s="136">
        <f t="shared" si="0"/>
        <v>3000</v>
      </c>
      <c r="D9" s="137">
        <v>44474</v>
      </c>
      <c r="E9" s="138" t="s">
        <v>544</v>
      </c>
      <c r="F9" s="137" t="s">
        <v>549</v>
      </c>
      <c r="G9" s="139" t="s">
        <v>16</v>
      </c>
      <c r="H9" s="139" t="s">
        <v>17</v>
      </c>
      <c r="I9" s="139"/>
      <c r="J9" s="140"/>
      <c r="K9" s="240"/>
      <c r="L9" s="241"/>
    </row>
    <row r="10" spans="1:12" s="124" customFormat="1" ht="21.95" customHeight="1" x14ac:dyDescent="0.25">
      <c r="A10" s="242" t="s">
        <v>18</v>
      </c>
      <c r="B10" s="141">
        <v>75</v>
      </c>
      <c r="C10" s="136">
        <v>3000</v>
      </c>
      <c r="D10" s="137">
        <v>43634</v>
      </c>
      <c r="E10" s="137" t="s">
        <v>545</v>
      </c>
      <c r="F10" s="137" t="s">
        <v>550</v>
      </c>
      <c r="G10" s="139" t="s">
        <v>16</v>
      </c>
      <c r="H10" s="139" t="s">
        <v>19</v>
      </c>
      <c r="I10" s="139"/>
      <c r="J10" s="142" t="s">
        <v>20</v>
      </c>
      <c r="K10" s="240"/>
      <c r="L10" s="241"/>
    </row>
    <row r="11" spans="1:12" s="124" customFormat="1" ht="21.95" customHeight="1" x14ac:dyDescent="0.25">
      <c r="A11" s="242" t="str">
        <f>A10</f>
        <v>EM.0002</v>
      </c>
      <c r="B11" s="141">
        <f>B10</f>
        <v>75</v>
      </c>
      <c r="C11" s="136">
        <f t="shared" ref="C11" si="1">C10</f>
        <v>3000</v>
      </c>
      <c r="D11" s="137" t="s">
        <v>536</v>
      </c>
      <c r="E11" s="138" t="s">
        <v>546</v>
      </c>
      <c r="F11" s="138" t="s">
        <v>551</v>
      </c>
      <c r="G11" s="139" t="s">
        <v>16</v>
      </c>
      <c r="H11" s="139" t="s">
        <v>23</v>
      </c>
      <c r="I11" s="139"/>
      <c r="J11" s="140"/>
      <c r="K11" s="240"/>
      <c r="L11" s="241"/>
    </row>
    <row r="12" spans="1:12" s="124" customFormat="1" ht="21.95" customHeight="1" x14ac:dyDescent="0.25">
      <c r="A12" s="242" t="s">
        <v>24</v>
      </c>
      <c r="B12" s="143" t="s">
        <v>25</v>
      </c>
      <c r="C12" s="144"/>
      <c r="D12" s="137" t="s">
        <v>537</v>
      </c>
      <c r="E12" s="138" t="s">
        <v>546</v>
      </c>
      <c r="F12" s="138" t="s">
        <v>551</v>
      </c>
      <c r="G12" s="139" t="s">
        <v>16</v>
      </c>
      <c r="H12" s="139" t="s">
        <v>26</v>
      </c>
      <c r="I12" s="139"/>
      <c r="J12" s="140"/>
      <c r="K12" s="240"/>
      <c r="L12" s="241"/>
    </row>
    <row r="13" spans="1:12" s="124" customFormat="1" ht="21.95" customHeight="1" x14ac:dyDescent="0.25">
      <c r="A13" s="242" t="s">
        <v>27</v>
      </c>
      <c r="B13" s="143" t="s">
        <v>28</v>
      </c>
      <c r="C13" s="144"/>
      <c r="D13" s="137" t="s">
        <v>538</v>
      </c>
      <c r="E13" s="138" t="s">
        <v>546</v>
      </c>
      <c r="F13" s="138" t="s">
        <v>551</v>
      </c>
      <c r="G13" s="139" t="s">
        <v>16</v>
      </c>
      <c r="H13" s="139"/>
      <c r="I13" s="139"/>
      <c r="J13" s="140"/>
      <c r="K13" s="240"/>
      <c r="L13" s="241"/>
    </row>
    <row r="14" spans="1:12" s="124" customFormat="1" ht="21.95" customHeight="1" x14ac:dyDescent="0.25">
      <c r="A14" s="242" t="s">
        <v>29</v>
      </c>
      <c r="B14" s="136" t="s">
        <v>30</v>
      </c>
      <c r="C14" s="136">
        <v>3000</v>
      </c>
      <c r="D14" s="137" t="s">
        <v>539</v>
      </c>
      <c r="E14" s="138" t="s">
        <v>546</v>
      </c>
      <c r="F14" s="138" t="s">
        <v>551</v>
      </c>
      <c r="G14" s="139" t="s">
        <v>16</v>
      </c>
      <c r="H14" s="139"/>
      <c r="I14" s="139"/>
      <c r="J14" s="140"/>
      <c r="K14" s="240"/>
      <c r="L14" s="241"/>
    </row>
    <row r="15" spans="1:12" s="124" customFormat="1" ht="21.95" customHeight="1" x14ac:dyDescent="0.25">
      <c r="A15" s="242" t="s">
        <v>31</v>
      </c>
      <c r="B15" s="136" t="s">
        <v>30</v>
      </c>
      <c r="C15" s="136">
        <v>1500</v>
      </c>
      <c r="D15" s="137" t="s">
        <v>540</v>
      </c>
      <c r="E15" s="138" t="s">
        <v>546</v>
      </c>
      <c r="F15" s="138" t="s">
        <v>551</v>
      </c>
      <c r="G15" s="139" t="s">
        <v>16</v>
      </c>
      <c r="H15" s="145" t="s">
        <v>32</v>
      </c>
      <c r="I15" s="145"/>
      <c r="J15" s="140"/>
      <c r="K15" s="240"/>
      <c r="L15" s="241"/>
    </row>
    <row r="16" spans="1:12" s="124" customFormat="1" ht="21.95" customHeight="1" x14ac:dyDescent="0.25">
      <c r="A16" s="242" t="str">
        <f>A15</f>
        <v>EM.0006</v>
      </c>
      <c r="B16" s="136" t="str">
        <f t="shared" ref="B16:C16" si="2">B15</f>
        <v>7.5</v>
      </c>
      <c r="C16" s="136">
        <f t="shared" si="2"/>
        <v>1500</v>
      </c>
      <c r="D16" s="137" t="s">
        <v>33</v>
      </c>
      <c r="E16" s="137" t="s">
        <v>34</v>
      </c>
      <c r="F16" s="137" t="s">
        <v>35</v>
      </c>
      <c r="G16" s="139" t="s">
        <v>58</v>
      </c>
      <c r="H16" s="145"/>
      <c r="I16" s="145"/>
      <c r="J16" s="140"/>
      <c r="K16" s="240"/>
      <c r="L16" s="241"/>
    </row>
    <row r="17" spans="1:13" s="124" customFormat="1" ht="21.95" customHeight="1" x14ac:dyDescent="0.25">
      <c r="A17" s="242" t="s">
        <v>36</v>
      </c>
      <c r="B17" s="136" t="s">
        <v>30</v>
      </c>
      <c r="C17" s="136">
        <v>1500</v>
      </c>
      <c r="D17" s="137" t="s">
        <v>541</v>
      </c>
      <c r="E17" s="138" t="s">
        <v>547</v>
      </c>
      <c r="F17" s="137" t="s">
        <v>552</v>
      </c>
      <c r="G17" s="139" t="s">
        <v>12</v>
      </c>
      <c r="H17" s="139"/>
      <c r="I17" s="139"/>
      <c r="J17" s="140"/>
      <c r="K17" s="240"/>
      <c r="L17" s="241"/>
    </row>
    <row r="18" spans="1:13" s="124" customFormat="1" ht="21.95" customHeight="1" x14ac:dyDescent="0.25">
      <c r="A18" s="242" t="s">
        <v>39</v>
      </c>
      <c r="B18" s="136">
        <v>4</v>
      </c>
      <c r="C18" s="136">
        <v>1500</v>
      </c>
      <c r="D18" s="137" t="s">
        <v>542</v>
      </c>
      <c r="E18" s="138" t="s">
        <v>546</v>
      </c>
      <c r="F18" s="138" t="s">
        <v>551</v>
      </c>
      <c r="G18" s="139" t="s">
        <v>16</v>
      </c>
      <c r="H18" s="139"/>
      <c r="I18" s="139"/>
      <c r="J18" s="140"/>
      <c r="K18" s="240"/>
      <c r="L18" s="241"/>
    </row>
    <row r="19" spans="1:13" s="124" customFormat="1" ht="21.95" customHeight="1" x14ac:dyDescent="0.25">
      <c r="A19" s="242" t="str">
        <f>A18</f>
        <v>EM.0008</v>
      </c>
      <c r="B19" s="136">
        <f t="shared" ref="B19:C19" si="3">B18</f>
        <v>4</v>
      </c>
      <c r="C19" s="136">
        <f t="shared" si="3"/>
        <v>1500</v>
      </c>
      <c r="D19" s="137" t="s">
        <v>40</v>
      </c>
      <c r="E19" s="138" t="s">
        <v>41</v>
      </c>
      <c r="F19" s="138"/>
      <c r="G19" s="139" t="s">
        <v>42</v>
      </c>
      <c r="H19" s="139"/>
      <c r="I19" s="139"/>
      <c r="J19" s="140"/>
      <c r="K19" s="240"/>
      <c r="L19" s="241"/>
    </row>
    <row r="20" spans="1:13" s="124" customFormat="1" ht="21.95" customHeight="1" x14ac:dyDescent="0.25">
      <c r="A20" s="243" t="s">
        <v>43</v>
      </c>
      <c r="B20" s="146">
        <v>75</v>
      </c>
      <c r="C20" s="146">
        <v>1500</v>
      </c>
      <c r="D20" s="147" t="s">
        <v>44</v>
      </c>
      <c r="E20" s="148" t="s">
        <v>21</v>
      </c>
      <c r="F20" s="148" t="s">
        <v>45</v>
      </c>
      <c r="G20" s="149" t="s">
        <v>12</v>
      </c>
      <c r="H20" s="149" t="s">
        <v>26</v>
      </c>
      <c r="I20" s="149" t="s">
        <v>576</v>
      </c>
      <c r="J20" s="150" t="s">
        <v>46</v>
      </c>
      <c r="K20" s="240"/>
      <c r="L20" s="241"/>
    </row>
    <row r="21" spans="1:13" s="124" customFormat="1" ht="21.95" customHeight="1" x14ac:dyDescent="0.25">
      <c r="A21" s="243" t="str">
        <f>A20</f>
        <v>EM.0009</v>
      </c>
      <c r="B21" s="146">
        <f t="shared" ref="B21:C22" si="4">B20</f>
        <v>75</v>
      </c>
      <c r="C21" s="146">
        <f t="shared" si="4"/>
        <v>1500</v>
      </c>
      <c r="D21" s="148">
        <v>44676</v>
      </c>
      <c r="E21" s="148" t="s">
        <v>49</v>
      </c>
      <c r="F21" s="148" t="s">
        <v>50</v>
      </c>
      <c r="G21" s="149" t="s">
        <v>51</v>
      </c>
      <c r="H21" s="149" t="s">
        <v>52</v>
      </c>
      <c r="I21" s="149" t="s">
        <v>576</v>
      </c>
      <c r="J21" s="151"/>
      <c r="K21" s="240"/>
      <c r="L21" s="241"/>
    </row>
    <row r="22" spans="1:13" s="124" customFormat="1" ht="21.95" customHeight="1" x14ac:dyDescent="0.25">
      <c r="A22" s="243" t="str">
        <f t="shared" ref="A22" si="5">A21</f>
        <v>EM.0009</v>
      </c>
      <c r="B22" s="146">
        <f t="shared" si="4"/>
        <v>75</v>
      </c>
      <c r="C22" s="146">
        <f t="shared" si="4"/>
        <v>1500</v>
      </c>
      <c r="D22" s="148"/>
      <c r="E22" s="148"/>
      <c r="F22" s="148"/>
      <c r="G22" s="149"/>
      <c r="H22" s="149" t="s">
        <v>54</v>
      </c>
      <c r="I22" s="149" t="s">
        <v>576</v>
      </c>
      <c r="J22" s="151"/>
      <c r="K22" s="240"/>
      <c r="L22" s="241"/>
    </row>
    <row r="23" spans="1:13" s="124" customFormat="1" ht="21.95" customHeight="1" x14ac:dyDescent="0.25">
      <c r="A23" s="243" t="str">
        <f t="shared" ref="A23:C24" si="6">A21</f>
        <v>EM.0009</v>
      </c>
      <c r="B23" s="146">
        <f t="shared" si="6"/>
        <v>75</v>
      </c>
      <c r="C23" s="146">
        <f t="shared" si="6"/>
        <v>1500</v>
      </c>
      <c r="D23" s="148" t="s">
        <v>55</v>
      </c>
      <c r="E23" s="148" t="s">
        <v>56</v>
      </c>
      <c r="F23" s="148" t="s">
        <v>57</v>
      </c>
      <c r="G23" s="149" t="s">
        <v>58</v>
      </c>
      <c r="H23" s="149"/>
      <c r="I23" s="149" t="s">
        <v>576</v>
      </c>
      <c r="J23" s="151"/>
      <c r="K23" s="240"/>
      <c r="L23" s="241"/>
    </row>
    <row r="24" spans="1:13" s="124" customFormat="1" ht="21.95" customHeight="1" x14ac:dyDescent="0.25">
      <c r="A24" s="243" t="str">
        <f t="shared" si="6"/>
        <v>EM.0009</v>
      </c>
      <c r="B24" s="146">
        <f t="shared" si="6"/>
        <v>75</v>
      </c>
      <c r="C24" s="146">
        <f t="shared" si="6"/>
        <v>1500</v>
      </c>
      <c r="D24" s="148">
        <v>45422</v>
      </c>
      <c r="E24" s="148">
        <v>45422</v>
      </c>
      <c r="F24" s="148">
        <v>45451</v>
      </c>
      <c r="G24" s="149" t="s">
        <v>58</v>
      </c>
      <c r="H24" s="149"/>
      <c r="I24" s="149" t="s">
        <v>576</v>
      </c>
      <c r="J24" s="151"/>
      <c r="K24" s="240"/>
      <c r="L24" s="241"/>
    </row>
    <row r="25" spans="1:13" s="124" customFormat="1" ht="21.95" customHeight="1" x14ac:dyDescent="0.25">
      <c r="A25" s="242" t="s">
        <v>59</v>
      </c>
      <c r="B25" s="136" t="s">
        <v>60</v>
      </c>
      <c r="C25" s="136">
        <v>1500</v>
      </c>
      <c r="D25" s="138" t="s">
        <v>61</v>
      </c>
      <c r="E25" s="138" t="s">
        <v>21</v>
      </c>
      <c r="F25" s="138" t="s">
        <v>45</v>
      </c>
      <c r="G25" s="139" t="s">
        <v>12</v>
      </c>
      <c r="H25" s="145" t="s">
        <v>45</v>
      </c>
      <c r="I25" s="145"/>
      <c r="J25" s="142" t="s">
        <v>62</v>
      </c>
      <c r="K25" s="240"/>
      <c r="L25" s="240"/>
      <c r="M25" s="240"/>
    </row>
    <row r="26" spans="1:13" s="124" customFormat="1" ht="21.95" customHeight="1" x14ac:dyDescent="0.25">
      <c r="A26" s="242" t="str">
        <f>A25</f>
        <v>EM.0010</v>
      </c>
      <c r="B26" s="136" t="str">
        <f t="shared" ref="B26:C26" si="7">B25</f>
        <v>5.5</v>
      </c>
      <c r="C26" s="136">
        <f t="shared" si="7"/>
        <v>1500</v>
      </c>
      <c r="D26" s="138" t="s">
        <v>63</v>
      </c>
      <c r="E26" s="138" t="s">
        <v>64</v>
      </c>
      <c r="F26" s="138" t="s">
        <v>65</v>
      </c>
      <c r="G26" s="139" t="s">
        <v>66</v>
      </c>
      <c r="H26" s="145"/>
      <c r="I26" s="145"/>
      <c r="J26" s="140"/>
      <c r="K26" s="240"/>
      <c r="L26" s="240"/>
      <c r="M26" s="240"/>
    </row>
    <row r="27" spans="1:13" s="124" customFormat="1" ht="21.95" customHeight="1" x14ac:dyDescent="0.25">
      <c r="A27" s="243" t="s">
        <v>67</v>
      </c>
      <c r="B27" s="146">
        <v>4</v>
      </c>
      <c r="C27" s="146">
        <v>1500</v>
      </c>
      <c r="D27" s="148" t="s">
        <v>68</v>
      </c>
      <c r="E27" s="148" t="s">
        <v>21</v>
      </c>
      <c r="F27" s="148" t="s">
        <v>45</v>
      </c>
      <c r="G27" s="149" t="s">
        <v>12</v>
      </c>
      <c r="H27" s="149" t="s">
        <v>69</v>
      </c>
      <c r="I27" s="149" t="s">
        <v>558</v>
      </c>
      <c r="J27" s="150" t="s">
        <v>70</v>
      </c>
      <c r="K27" s="240"/>
      <c r="L27" s="240"/>
      <c r="M27" s="240"/>
    </row>
    <row r="28" spans="1:13" s="124" customFormat="1" ht="21.95" customHeight="1" x14ac:dyDescent="0.25">
      <c r="A28" s="243" t="str">
        <f>A27</f>
        <v>EM.0011</v>
      </c>
      <c r="B28" s="146">
        <f t="shared" ref="B28:C28" si="8">B27</f>
        <v>4</v>
      </c>
      <c r="C28" s="146">
        <f t="shared" si="8"/>
        <v>1500</v>
      </c>
      <c r="D28" s="148" t="s">
        <v>69</v>
      </c>
      <c r="E28" s="148" t="s">
        <v>71</v>
      </c>
      <c r="F28" s="148" t="s">
        <v>72</v>
      </c>
      <c r="G28" s="149" t="s">
        <v>16</v>
      </c>
      <c r="H28" s="152" t="s">
        <v>73</v>
      </c>
      <c r="I28" s="152" t="s">
        <v>558</v>
      </c>
      <c r="J28" s="150" t="s">
        <v>74</v>
      </c>
      <c r="K28" s="240"/>
      <c r="L28" s="240"/>
      <c r="M28" s="240"/>
    </row>
    <row r="29" spans="1:13" s="124" customFormat="1" ht="21.95" customHeight="1" x14ac:dyDescent="0.25">
      <c r="A29" s="243" t="s">
        <v>67</v>
      </c>
      <c r="B29" s="146">
        <v>4</v>
      </c>
      <c r="C29" s="146">
        <v>1500</v>
      </c>
      <c r="D29" s="148" t="s">
        <v>75</v>
      </c>
      <c r="E29" s="148"/>
      <c r="F29" s="148"/>
      <c r="G29" s="149"/>
      <c r="H29" s="152"/>
      <c r="I29" s="152" t="s">
        <v>558</v>
      </c>
      <c r="J29" s="153" t="s">
        <v>76</v>
      </c>
      <c r="K29" s="240"/>
      <c r="L29" s="240"/>
      <c r="M29" s="240"/>
    </row>
    <row r="30" spans="1:13" s="124" customFormat="1" ht="21.95" customHeight="1" x14ac:dyDescent="0.25">
      <c r="A30" s="243" t="str">
        <f>A28</f>
        <v>EM.0011</v>
      </c>
      <c r="B30" s="146">
        <f>B28</f>
        <v>4</v>
      </c>
      <c r="C30" s="146">
        <f>C28</f>
        <v>1500</v>
      </c>
      <c r="D30" s="148">
        <v>45399</v>
      </c>
      <c r="E30" s="148">
        <v>45399</v>
      </c>
      <c r="F30" s="147">
        <v>45422</v>
      </c>
      <c r="G30" s="149"/>
      <c r="H30" s="149"/>
      <c r="I30" s="149" t="s">
        <v>558</v>
      </c>
      <c r="J30" s="151"/>
      <c r="K30" s="240"/>
      <c r="L30" s="240"/>
      <c r="M30" s="240"/>
    </row>
    <row r="31" spans="1:13" s="124" customFormat="1" ht="21.95" customHeight="1" x14ac:dyDescent="0.25">
      <c r="A31" s="243" t="s">
        <v>77</v>
      </c>
      <c r="B31" s="146">
        <v>4</v>
      </c>
      <c r="C31" s="146">
        <v>1500</v>
      </c>
      <c r="D31" s="148" t="s">
        <v>78</v>
      </c>
      <c r="E31" s="148" t="s">
        <v>21</v>
      </c>
      <c r="F31" s="148" t="s">
        <v>45</v>
      </c>
      <c r="G31" s="149" t="s">
        <v>12</v>
      </c>
      <c r="H31" s="152" t="s">
        <v>22</v>
      </c>
      <c r="I31" s="149" t="s">
        <v>555</v>
      </c>
      <c r="J31" s="150" t="s">
        <v>79</v>
      </c>
      <c r="K31" s="240"/>
      <c r="L31" s="240"/>
      <c r="M31" s="240"/>
    </row>
    <row r="32" spans="1:13" s="124" customFormat="1" ht="21.95" customHeight="1" x14ac:dyDescent="0.25">
      <c r="A32" s="243" t="str">
        <f>A31</f>
        <v>EM.0012</v>
      </c>
      <c r="B32" s="146">
        <f t="shared" ref="B32:C33" si="9">B31</f>
        <v>4</v>
      </c>
      <c r="C32" s="146">
        <f t="shared" si="9"/>
        <v>1500</v>
      </c>
      <c r="D32" s="148" t="s">
        <v>80</v>
      </c>
      <c r="E32" s="148" t="s">
        <v>81</v>
      </c>
      <c r="F32" s="148" t="s">
        <v>82</v>
      </c>
      <c r="G32" s="149" t="s">
        <v>42</v>
      </c>
      <c r="H32" s="152"/>
      <c r="I32" s="149" t="s">
        <v>555</v>
      </c>
      <c r="J32" s="150"/>
      <c r="K32" s="240"/>
      <c r="L32" s="240"/>
      <c r="M32" s="240"/>
    </row>
    <row r="33" spans="1:13" s="124" customFormat="1" ht="21.95" customHeight="1" x14ac:dyDescent="0.25">
      <c r="A33" s="243" t="str">
        <f t="shared" ref="A33" si="10">A32</f>
        <v>EM.0012</v>
      </c>
      <c r="B33" s="146">
        <f t="shared" si="9"/>
        <v>4</v>
      </c>
      <c r="C33" s="146">
        <f t="shared" si="9"/>
        <v>1500</v>
      </c>
      <c r="D33" s="148" t="s">
        <v>83</v>
      </c>
      <c r="E33" s="148" t="s">
        <v>84</v>
      </c>
      <c r="F33" s="148" t="s">
        <v>85</v>
      </c>
      <c r="G33" s="149" t="s">
        <v>42</v>
      </c>
      <c r="H33" s="152"/>
      <c r="I33" s="149" t="s">
        <v>555</v>
      </c>
      <c r="J33" s="150"/>
      <c r="K33" s="240"/>
      <c r="L33" s="240"/>
      <c r="M33" s="240"/>
    </row>
    <row r="34" spans="1:13" s="124" customFormat="1" ht="21.95" customHeight="1" x14ac:dyDescent="0.25">
      <c r="A34" s="243" t="s">
        <v>77</v>
      </c>
      <c r="B34" s="146">
        <v>4</v>
      </c>
      <c r="C34" s="146">
        <v>1500</v>
      </c>
      <c r="D34" s="148" t="s">
        <v>86</v>
      </c>
      <c r="E34" s="148" t="s">
        <v>87</v>
      </c>
      <c r="F34" s="148"/>
      <c r="G34" s="149" t="s">
        <v>58</v>
      </c>
      <c r="H34" s="152"/>
      <c r="I34" s="149" t="s">
        <v>555</v>
      </c>
      <c r="J34" s="150"/>
      <c r="K34" s="240"/>
      <c r="L34" s="240"/>
      <c r="M34" s="240"/>
    </row>
    <row r="35" spans="1:13" s="124" customFormat="1" ht="21.95" customHeight="1" x14ac:dyDescent="0.25">
      <c r="A35" s="243" t="str">
        <f>A33</f>
        <v>EM.0012</v>
      </c>
      <c r="B35" s="146">
        <f>B33</f>
        <v>4</v>
      </c>
      <c r="C35" s="146">
        <f>C33</f>
        <v>1500</v>
      </c>
      <c r="D35" s="148">
        <v>45399</v>
      </c>
      <c r="E35" s="148">
        <v>45399</v>
      </c>
      <c r="F35" s="148">
        <v>45422</v>
      </c>
      <c r="G35" s="149" t="s">
        <v>58</v>
      </c>
      <c r="H35" s="149"/>
      <c r="I35" s="149" t="s">
        <v>555</v>
      </c>
      <c r="J35" s="151"/>
      <c r="K35" s="240"/>
      <c r="L35" s="240"/>
      <c r="M35" s="240"/>
    </row>
    <row r="36" spans="1:13" s="124" customFormat="1" ht="21.95" customHeight="1" x14ac:dyDescent="0.25">
      <c r="A36" s="242" t="s">
        <v>88</v>
      </c>
      <c r="B36" s="136">
        <v>4</v>
      </c>
      <c r="C36" s="136">
        <v>1500</v>
      </c>
      <c r="D36" s="138" t="s">
        <v>89</v>
      </c>
      <c r="E36" s="138" t="s">
        <v>21</v>
      </c>
      <c r="F36" s="138" t="s">
        <v>45</v>
      </c>
      <c r="G36" s="139" t="s">
        <v>12</v>
      </c>
      <c r="H36" s="139"/>
      <c r="I36" s="139"/>
      <c r="J36" s="140"/>
      <c r="K36" s="240"/>
      <c r="L36" s="240"/>
      <c r="M36" s="240"/>
    </row>
    <row r="37" spans="1:13" s="124" customFormat="1" ht="21.95" customHeight="1" x14ac:dyDescent="0.25">
      <c r="A37" s="242" t="s">
        <v>90</v>
      </c>
      <c r="B37" s="143" t="s">
        <v>91</v>
      </c>
      <c r="C37" s="144"/>
      <c r="D37" s="137" t="s">
        <v>44</v>
      </c>
      <c r="E37" s="138" t="s">
        <v>21</v>
      </c>
      <c r="F37" s="138" t="s">
        <v>45</v>
      </c>
      <c r="G37" s="139" t="s">
        <v>12</v>
      </c>
      <c r="H37" s="139"/>
      <c r="I37" s="139"/>
      <c r="J37" s="140"/>
      <c r="K37" s="240"/>
      <c r="L37" s="240"/>
      <c r="M37" s="240"/>
    </row>
    <row r="38" spans="1:13" s="124" customFormat="1" ht="21.95" customHeight="1" x14ac:dyDescent="0.25">
      <c r="A38" s="242" t="s">
        <v>90</v>
      </c>
      <c r="B38" s="143" t="s">
        <v>91</v>
      </c>
      <c r="C38" s="144"/>
      <c r="D38" s="137"/>
      <c r="E38" s="138">
        <v>45674</v>
      </c>
      <c r="F38" s="138">
        <v>45708</v>
      </c>
      <c r="G38" s="199" t="s">
        <v>58</v>
      </c>
      <c r="H38" s="139"/>
      <c r="I38" s="199" t="s">
        <v>682</v>
      </c>
      <c r="J38" s="140"/>
      <c r="K38" s="240"/>
      <c r="L38" s="240"/>
      <c r="M38" s="240"/>
    </row>
    <row r="39" spans="1:13" s="124" customFormat="1" ht="21.95" customHeight="1" x14ac:dyDescent="0.25">
      <c r="A39" s="242" t="s">
        <v>92</v>
      </c>
      <c r="B39" s="143" t="s">
        <v>25</v>
      </c>
      <c r="C39" s="144"/>
      <c r="D39" s="138" t="s">
        <v>68</v>
      </c>
      <c r="E39" s="138" t="s">
        <v>21</v>
      </c>
      <c r="F39" s="138" t="s">
        <v>45</v>
      </c>
      <c r="G39" s="139" t="s">
        <v>12</v>
      </c>
      <c r="H39" s="139"/>
      <c r="I39" s="139"/>
      <c r="J39" s="140"/>
      <c r="K39" s="240"/>
      <c r="L39" s="240"/>
      <c r="M39" s="240"/>
    </row>
    <row r="40" spans="1:13" s="124" customFormat="1" ht="21.95" customHeight="1" x14ac:dyDescent="0.25">
      <c r="A40" s="242" t="s">
        <v>93</v>
      </c>
      <c r="B40" s="143" t="s">
        <v>28</v>
      </c>
      <c r="C40" s="144"/>
      <c r="D40" s="137" t="s">
        <v>94</v>
      </c>
      <c r="E40" s="138" t="s">
        <v>95</v>
      </c>
      <c r="F40" s="138" t="s">
        <v>45</v>
      </c>
      <c r="G40" s="139" t="s">
        <v>12</v>
      </c>
      <c r="H40" s="139"/>
      <c r="I40" s="139"/>
      <c r="J40" s="140"/>
      <c r="K40" s="240"/>
      <c r="L40" s="240"/>
      <c r="M40" s="240"/>
    </row>
    <row r="41" spans="1:13" s="124" customFormat="1" ht="21.95" customHeight="1" x14ac:dyDescent="0.25">
      <c r="A41" s="242" t="s">
        <v>96</v>
      </c>
      <c r="B41" s="143" t="s">
        <v>28</v>
      </c>
      <c r="C41" s="144"/>
      <c r="D41" s="138" t="s">
        <v>97</v>
      </c>
      <c r="E41" s="138" t="s">
        <v>98</v>
      </c>
      <c r="F41" s="137" t="s">
        <v>99</v>
      </c>
      <c r="G41" s="139" t="s">
        <v>16</v>
      </c>
      <c r="H41" s="139" t="s">
        <v>82</v>
      </c>
      <c r="I41" s="139"/>
      <c r="J41" s="140"/>
      <c r="K41" s="240"/>
      <c r="L41" s="240"/>
      <c r="M41" s="240"/>
    </row>
    <row r="42" spans="1:13" s="124" customFormat="1" ht="21.95" customHeight="1" x14ac:dyDescent="0.25">
      <c r="A42" s="242" t="s">
        <v>100</v>
      </c>
      <c r="B42" s="136">
        <v>11</v>
      </c>
      <c r="C42" s="136">
        <v>3000</v>
      </c>
      <c r="D42" s="138" t="s">
        <v>101</v>
      </c>
      <c r="E42" s="138" t="s">
        <v>22</v>
      </c>
      <c r="F42" s="138" t="s">
        <v>102</v>
      </c>
      <c r="G42" s="139" t="s">
        <v>16</v>
      </c>
      <c r="H42" s="139" t="s">
        <v>99</v>
      </c>
      <c r="I42" s="139"/>
      <c r="J42" s="140"/>
      <c r="K42" s="240"/>
      <c r="L42" s="240"/>
      <c r="M42" s="240"/>
    </row>
    <row r="43" spans="1:13" s="124" customFormat="1" ht="21.95" customHeight="1" x14ac:dyDescent="0.25">
      <c r="A43" s="243" t="s">
        <v>103</v>
      </c>
      <c r="B43" s="146">
        <v>55</v>
      </c>
      <c r="C43" s="146">
        <v>1500</v>
      </c>
      <c r="D43" s="148" t="s">
        <v>104</v>
      </c>
      <c r="E43" s="148" t="s">
        <v>98</v>
      </c>
      <c r="F43" s="148" t="s">
        <v>102</v>
      </c>
      <c r="G43" s="149" t="s">
        <v>16</v>
      </c>
      <c r="H43" s="148" t="s">
        <v>105</v>
      </c>
      <c r="I43" s="148" t="s">
        <v>564</v>
      </c>
      <c r="J43" s="150" t="s">
        <v>106</v>
      </c>
      <c r="K43" s="240"/>
      <c r="L43" s="240"/>
      <c r="M43" s="240"/>
    </row>
    <row r="44" spans="1:13" s="124" customFormat="1" ht="21.95" customHeight="1" x14ac:dyDescent="0.25">
      <c r="A44" s="243" t="str">
        <f>A43</f>
        <v>EM.0019</v>
      </c>
      <c r="B44" s="146">
        <f t="shared" ref="B44:C45" si="11">B43</f>
        <v>55</v>
      </c>
      <c r="C44" s="146">
        <f t="shared" si="11"/>
        <v>1500</v>
      </c>
      <c r="D44" s="148" t="s">
        <v>107</v>
      </c>
      <c r="E44" s="148" t="s">
        <v>108</v>
      </c>
      <c r="F44" s="148" t="s">
        <v>109</v>
      </c>
      <c r="G44" s="149" t="s">
        <v>16</v>
      </c>
      <c r="H44" s="148"/>
      <c r="I44" s="148" t="s">
        <v>564</v>
      </c>
      <c r="J44" s="150"/>
      <c r="K44" s="240"/>
      <c r="L44" s="240"/>
      <c r="M44" s="240"/>
    </row>
    <row r="45" spans="1:13" s="124" customFormat="1" ht="21.95" customHeight="1" x14ac:dyDescent="0.25">
      <c r="A45" s="243" t="str">
        <f t="shared" ref="A45" si="12">A44</f>
        <v>EM.0019</v>
      </c>
      <c r="B45" s="146">
        <f t="shared" si="11"/>
        <v>55</v>
      </c>
      <c r="C45" s="146">
        <f t="shared" si="11"/>
        <v>1500</v>
      </c>
      <c r="D45" s="148" t="s">
        <v>110</v>
      </c>
      <c r="E45" s="148" t="s">
        <v>111</v>
      </c>
      <c r="F45" s="148" t="s">
        <v>112</v>
      </c>
      <c r="G45" s="149" t="s">
        <v>16</v>
      </c>
      <c r="H45" s="154"/>
      <c r="I45" s="148" t="s">
        <v>564</v>
      </c>
      <c r="J45" s="155"/>
      <c r="K45" s="240"/>
      <c r="L45" s="240"/>
      <c r="M45" s="240"/>
    </row>
    <row r="46" spans="1:13" s="124" customFormat="1" ht="21.95" customHeight="1" x14ac:dyDescent="0.25">
      <c r="A46" s="243" t="str">
        <f t="shared" ref="A46:C48" si="13">A44</f>
        <v>EM.0019</v>
      </c>
      <c r="B46" s="146">
        <f t="shared" si="13"/>
        <v>55</v>
      </c>
      <c r="C46" s="146">
        <f t="shared" si="13"/>
        <v>1500</v>
      </c>
      <c r="D46" s="148"/>
      <c r="E46" s="148"/>
      <c r="F46" s="148" t="s">
        <v>113</v>
      </c>
      <c r="G46" s="149"/>
      <c r="H46" s="154"/>
      <c r="I46" s="148" t="s">
        <v>564</v>
      </c>
      <c r="J46" s="155"/>
      <c r="K46" s="240"/>
      <c r="L46" s="240"/>
      <c r="M46" s="240"/>
    </row>
    <row r="47" spans="1:13" s="124" customFormat="1" ht="21.95" customHeight="1" x14ac:dyDescent="0.25">
      <c r="A47" s="243" t="str">
        <f t="shared" si="13"/>
        <v>EM.0019</v>
      </c>
      <c r="B47" s="146">
        <f t="shared" si="13"/>
        <v>55</v>
      </c>
      <c r="C47" s="146">
        <f t="shared" si="13"/>
        <v>1500</v>
      </c>
      <c r="D47" s="148">
        <v>45399</v>
      </c>
      <c r="E47" s="148">
        <v>45399</v>
      </c>
      <c r="F47" s="148">
        <v>45422</v>
      </c>
      <c r="G47" s="149" t="s">
        <v>58</v>
      </c>
      <c r="H47" s="154"/>
      <c r="I47" s="148" t="s">
        <v>564</v>
      </c>
      <c r="J47" s="155"/>
      <c r="K47" s="240"/>
      <c r="L47" s="240"/>
      <c r="M47" s="240"/>
    </row>
    <row r="48" spans="1:13" s="124" customFormat="1" ht="21.95" customHeight="1" x14ac:dyDescent="0.25">
      <c r="A48" s="243" t="str">
        <f t="shared" si="13"/>
        <v>EM.0019</v>
      </c>
      <c r="B48" s="146">
        <f t="shared" si="13"/>
        <v>55</v>
      </c>
      <c r="C48" s="146">
        <f t="shared" si="13"/>
        <v>1500</v>
      </c>
      <c r="D48" s="148">
        <v>45532</v>
      </c>
      <c r="E48" s="148">
        <v>45532</v>
      </c>
      <c r="F48" s="148">
        <v>45553</v>
      </c>
      <c r="G48" s="149" t="s">
        <v>58</v>
      </c>
      <c r="H48" s="154"/>
      <c r="I48" s="148" t="s">
        <v>647</v>
      </c>
      <c r="J48" s="155"/>
      <c r="K48" s="240"/>
      <c r="L48" s="240"/>
      <c r="M48" s="240"/>
    </row>
    <row r="49" spans="1:13" s="124" customFormat="1" ht="21.95" customHeight="1" x14ac:dyDescent="0.25">
      <c r="A49" s="243" t="s">
        <v>114</v>
      </c>
      <c r="B49" s="146" t="s">
        <v>115</v>
      </c>
      <c r="C49" s="146">
        <v>1500</v>
      </c>
      <c r="D49" s="148" t="s">
        <v>116</v>
      </c>
      <c r="E49" s="148" t="s">
        <v>37</v>
      </c>
      <c r="F49" s="147" t="s">
        <v>38</v>
      </c>
      <c r="G49" s="149" t="s">
        <v>12</v>
      </c>
      <c r="H49" s="148" t="s">
        <v>117</v>
      </c>
      <c r="I49" s="148" t="s">
        <v>577</v>
      </c>
      <c r="J49" s="156" t="s">
        <v>118</v>
      </c>
      <c r="K49" s="240"/>
      <c r="L49" s="240"/>
      <c r="M49" s="240"/>
    </row>
    <row r="50" spans="1:13" s="124" customFormat="1" ht="21.95" customHeight="1" x14ac:dyDescent="0.25">
      <c r="A50" s="243" t="str">
        <f>A49</f>
        <v>EM.0020</v>
      </c>
      <c r="B50" s="146" t="str">
        <f t="shared" ref="B50:C52" si="14">B49</f>
        <v>2.2</v>
      </c>
      <c r="C50" s="146">
        <f t="shared" si="14"/>
        <v>1500</v>
      </c>
      <c r="D50" s="148" t="s">
        <v>119</v>
      </c>
      <c r="E50" s="148" t="s">
        <v>71</v>
      </c>
      <c r="F50" s="148" t="s">
        <v>72</v>
      </c>
      <c r="G50" s="149" t="s">
        <v>16</v>
      </c>
      <c r="H50" s="148" t="s">
        <v>73</v>
      </c>
      <c r="I50" s="148" t="s">
        <v>577</v>
      </c>
      <c r="J50" s="150" t="s">
        <v>74</v>
      </c>
      <c r="K50" s="240"/>
      <c r="L50" s="240"/>
      <c r="M50" s="240"/>
    </row>
    <row r="51" spans="1:13" s="124" customFormat="1" ht="21.95" customHeight="1" x14ac:dyDescent="0.25">
      <c r="A51" s="243" t="str">
        <f t="shared" ref="A51:A52" si="15">A50</f>
        <v>EM.0020</v>
      </c>
      <c r="B51" s="146" t="str">
        <f t="shared" si="14"/>
        <v>2.2</v>
      </c>
      <c r="C51" s="146">
        <f t="shared" si="14"/>
        <v>1500</v>
      </c>
      <c r="D51" s="148" t="s">
        <v>120</v>
      </c>
      <c r="E51" s="148" t="s">
        <v>121</v>
      </c>
      <c r="F51" s="148" t="s">
        <v>122</v>
      </c>
      <c r="G51" s="149" t="s">
        <v>42</v>
      </c>
      <c r="H51" s="148"/>
      <c r="I51" s="148" t="s">
        <v>577</v>
      </c>
      <c r="J51" s="150"/>
      <c r="K51" s="240"/>
      <c r="L51" s="240"/>
      <c r="M51" s="240"/>
    </row>
    <row r="52" spans="1:13" s="124" customFormat="1" ht="21.95" customHeight="1" x14ac:dyDescent="0.25">
      <c r="A52" s="243" t="str">
        <f t="shared" si="15"/>
        <v>EM.0020</v>
      </c>
      <c r="B52" s="146" t="str">
        <f t="shared" si="14"/>
        <v>2.2</v>
      </c>
      <c r="C52" s="146">
        <f t="shared" si="14"/>
        <v>1500</v>
      </c>
      <c r="D52" s="148" t="s">
        <v>123</v>
      </c>
      <c r="E52" s="148" t="s">
        <v>124</v>
      </c>
      <c r="F52" s="147" t="s">
        <v>125</v>
      </c>
      <c r="G52" s="149" t="s">
        <v>42</v>
      </c>
      <c r="H52" s="148"/>
      <c r="I52" s="148" t="s">
        <v>577</v>
      </c>
      <c r="J52" s="155" t="s">
        <v>126</v>
      </c>
      <c r="K52" s="240"/>
      <c r="L52" s="240"/>
      <c r="M52" s="240"/>
    </row>
    <row r="53" spans="1:13" s="124" customFormat="1" ht="21.95" customHeight="1" x14ac:dyDescent="0.25">
      <c r="A53" s="242" t="s">
        <v>127</v>
      </c>
      <c r="B53" s="136">
        <v>132</v>
      </c>
      <c r="C53" s="136">
        <v>3000</v>
      </c>
      <c r="D53" s="138" t="s">
        <v>128</v>
      </c>
      <c r="E53" s="138" t="s">
        <v>98</v>
      </c>
      <c r="F53" s="137" t="s">
        <v>129</v>
      </c>
      <c r="G53" s="139" t="s">
        <v>58</v>
      </c>
      <c r="H53" s="145" t="s">
        <v>32</v>
      </c>
      <c r="I53" s="145"/>
      <c r="J53" s="140"/>
      <c r="K53" s="240"/>
      <c r="L53" s="240"/>
      <c r="M53" s="240"/>
    </row>
    <row r="54" spans="1:13" s="124" customFormat="1" ht="21.95" customHeight="1" x14ac:dyDescent="0.25">
      <c r="A54" s="242" t="str">
        <f>A53</f>
        <v>EM.0021</v>
      </c>
      <c r="B54" s="136">
        <f t="shared" ref="B54:C54" si="16">B53</f>
        <v>132</v>
      </c>
      <c r="C54" s="136">
        <f t="shared" si="16"/>
        <v>3000</v>
      </c>
      <c r="D54" s="138" t="s">
        <v>130</v>
      </c>
      <c r="E54" s="138" t="s">
        <v>41</v>
      </c>
      <c r="F54" s="137" t="s">
        <v>131</v>
      </c>
      <c r="G54" s="139" t="s">
        <v>42</v>
      </c>
      <c r="H54" s="145"/>
      <c r="I54" s="145"/>
      <c r="J54" s="140"/>
      <c r="K54" s="240"/>
      <c r="L54" s="240"/>
      <c r="M54" s="240"/>
    </row>
    <row r="55" spans="1:13" s="124" customFormat="1" ht="21.95" customHeight="1" x14ac:dyDescent="0.25">
      <c r="A55" s="243" t="s">
        <v>132</v>
      </c>
      <c r="B55" s="146">
        <v>4</v>
      </c>
      <c r="C55" s="146">
        <v>1500</v>
      </c>
      <c r="D55" s="148" t="s">
        <v>133</v>
      </c>
      <c r="E55" s="148" t="s">
        <v>98</v>
      </c>
      <c r="F55" s="147" t="s">
        <v>99</v>
      </c>
      <c r="G55" s="149" t="s">
        <v>16</v>
      </c>
      <c r="H55" s="149" t="s">
        <v>134</v>
      </c>
      <c r="I55" s="149"/>
      <c r="J55" s="150" t="s">
        <v>135</v>
      </c>
      <c r="K55" s="240"/>
      <c r="L55" s="240"/>
      <c r="M55" s="240"/>
    </row>
    <row r="56" spans="1:13" s="124" customFormat="1" ht="21.95" customHeight="1" x14ac:dyDescent="0.25">
      <c r="A56" s="243" t="str">
        <f>A55</f>
        <v>EM.0022</v>
      </c>
      <c r="B56" s="146">
        <f t="shared" ref="B56:C59" si="17">B55</f>
        <v>4</v>
      </c>
      <c r="C56" s="146">
        <f t="shared" si="17"/>
        <v>1500</v>
      </c>
      <c r="D56" s="147" t="s">
        <v>69</v>
      </c>
      <c r="E56" s="148" t="s">
        <v>71</v>
      </c>
      <c r="F56" s="148" t="s">
        <v>72</v>
      </c>
      <c r="G56" s="149" t="s">
        <v>16</v>
      </c>
      <c r="H56" s="148" t="s">
        <v>136</v>
      </c>
      <c r="I56" s="148"/>
      <c r="J56" s="150" t="s">
        <v>137</v>
      </c>
      <c r="K56" s="240"/>
      <c r="L56" s="240"/>
      <c r="M56" s="240"/>
    </row>
    <row r="57" spans="1:13" s="124" customFormat="1" ht="21.95" customHeight="1" x14ac:dyDescent="0.25">
      <c r="A57" s="243" t="str">
        <f t="shared" ref="A57:A59" si="18">A56</f>
        <v>EM.0022</v>
      </c>
      <c r="B57" s="146">
        <f t="shared" si="17"/>
        <v>4</v>
      </c>
      <c r="C57" s="146">
        <f t="shared" si="17"/>
        <v>1500</v>
      </c>
      <c r="D57" s="147" t="s">
        <v>138</v>
      </c>
      <c r="E57" s="147" t="s">
        <v>139</v>
      </c>
      <c r="F57" s="148" t="s">
        <v>108</v>
      </c>
      <c r="G57" s="149" t="s">
        <v>16</v>
      </c>
      <c r="H57" s="149" t="s">
        <v>140</v>
      </c>
      <c r="I57" s="149"/>
      <c r="J57" s="151"/>
      <c r="K57" s="240"/>
      <c r="L57" s="240"/>
      <c r="M57" s="240"/>
    </row>
    <row r="58" spans="1:13" s="124" customFormat="1" ht="21.95" customHeight="1" x14ac:dyDescent="0.25">
      <c r="A58" s="243" t="str">
        <f t="shared" si="18"/>
        <v>EM.0022</v>
      </c>
      <c r="B58" s="146">
        <f t="shared" si="17"/>
        <v>4</v>
      </c>
      <c r="C58" s="146">
        <f t="shared" si="17"/>
        <v>1500</v>
      </c>
      <c r="D58" s="147" t="s">
        <v>141</v>
      </c>
      <c r="E58" s="147"/>
      <c r="F58" s="148" t="s">
        <v>142</v>
      </c>
      <c r="G58" s="149" t="s">
        <v>16</v>
      </c>
      <c r="H58" s="149"/>
      <c r="I58" s="149"/>
      <c r="J58" s="151"/>
      <c r="K58" s="240"/>
      <c r="L58" s="240"/>
      <c r="M58" s="240"/>
    </row>
    <row r="59" spans="1:13" s="124" customFormat="1" ht="21.95" customHeight="1" x14ac:dyDescent="0.25">
      <c r="A59" s="242" t="str">
        <f t="shared" si="18"/>
        <v>EM.0022</v>
      </c>
      <c r="B59" s="136" t="s">
        <v>676</v>
      </c>
      <c r="C59" s="136">
        <f t="shared" si="17"/>
        <v>1500</v>
      </c>
      <c r="D59" s="137"/>
      <c r="E59" s="137">
        <v>45674</v>
      </c>
      <c r="F59" s="138">
        <v>45708</v>
      </c>
      <c r="G59" s="139" t="s">
        <v>58</v>
      </c>
      <c r="H59" s="139"/>
      <c r="I59" s="139"/>
      <c r="J59" s="140"/>
      <c r="K59" s="240"/>
      <c r="L59" s="240"/>
      <c r="M59" s="240"/>
    </row>
    <row r="60" spans="1:13" s="124" customFormat="1" ht="21.95" customHeight="1" x14ac:dyDescent="0.25">
      <c r="A60" s="242" t="s">
        <v>143</v>
      </c>
      <c r="B60" s="136" t="s">
        <v>144</v>
      </c>
      <c r="C60" s="136">
        <v>1000</v>
      </c>
      <c r="D60" s="138" t="s">
        <v>145</v>
      </c>
      <c r="E60" s="138" t="s">
        <v>37</v>
      </c>
      <c r="F60" s="137" t="s">
        <v>38</v>
      </c>
      <c r="G60" s="139" t="s">
        <v>590</v>
      </c>
      <c r="H60" s="139"/>
      <c r="I60" s="139"/>
      <c r="J60" s="140"/>
      <c r="K60" s="240"/>
      <c r="L60" s="240"/>
      <c r="M60" s="240"/>
    </row>
    <row r="61" spans="1:13" s="124" customFormat="1" ht="21.95" customHeight="1" x14ac:dyDescent="0.25">
      <c r="A61" s="242" t="s">
        <v>146</v>
      </c>
      <c r="B61" s="143" t="s">
        <v>25</v>
      </c>
      <c r="C61" s="144"/>
      <c r="D61" s="138" t="s">
        <v>147</v>
      </c>
      <c r="E61" s="138" t="s">
        <v>98</v>
      </c>
      <c r="F61" s="137" t="s">
        <v>99</v>
      </c>
      <c r="G61" s="139" t="s">
        <v>16</v>
      </c>
      <c r="H61" s="139" t="s">
        <v>148</v>
      </c>
      <c r="I61" s="139"/>
      <c r="J61" s="142" t="s">
        <v>149</v>
      </c>
      <c r="K61" s="240"/>
      <c r="L61" s="240"/>
      <c r="M61" s="240"/>
    </row>
    <row r="62" spans="1:13" s="124" customFormat="1" ht="21.95" customHeight="1" x14ac:dyDescent="0.25">
      <c r="A62" s="242" t="str">
        <f>A61</f>
        <v>EM.0024</v>
      </c>
      <c r="B62" s="143" t="str">
        <f t="shared" ref="B62" si="19">B61</f>
        <v>Dinamo Cas WL</v>
      </c>
      <c r="C62" s="144"/>
      <c r="D62" s="138" t="s">
        <v>150</v>
      </c>
      <c r="E62" s="138" t="s">
        <v>81</v>
      </c>
      <c r="F62" s="137" t="s">
        <v>82</v>
      </c>
      <c r="G62" s="139" t="s">
        <v>42</v>
      </c>
      <c r="H62" s="139"/>
      <c r="I62" s="139"/>
      <c r="J62" s="140"/>
      <c r="K62" s="240"/>
      <c r="L62" s="240"/>
      <c r="M62" s="240"/>
    </row>
    <row r="63" spans="1:13" s="124" customFormat="1" ht="21.95" customHeight="1" x14ac:dyDescent="0.25">
      <c r="A63" s="243" t="s">
        <v>151</v>
      </c>
      <c r="B63" s="146">
        <v>55</v>
      </c>
      <c r="C63" s="146">
        <v>1500</v>
      </c>
      <c r="D63" s="148" t="s">
        <v>22</v>
      </c>
      <c r="E63" s="148" t="s">
        <v>98</v>
      </c>
      <c r="F63" s="147" t="s">
        <v>129</v>
      </c>
      <c r="G63" s="149" t="s">
        <v>58</v>
      </c>
      <c r="H63" s="152" t="s">
        <v>107</v>
      </c>
      <c r="I63" s="152"/>
      <c r="J63" s="151"/>
      <c r="K63" s="240"/>
      <c r="L63" s="240"/>
      <c r="M63" s="240"/>
    </row>
    <row r="64" spans="1:13" s="124" customFormat="1" ht="21.95" customHeight="1" x14ac:dyDescent="0.25">
      <c r="A64" s="243" t="str">
        <f>A63</f>
        <v>EM.0025</v>
      </c>
      <c r="B64" s="146">
        <f t="shared" ref="B64:C65" si="20">B63</f>
        <v>55</v>
      </c>
      <c r="C64" s="146">
        <f t="shared" si="20"/>
        <v>1500</v>
      </c>
      <c r="D64" s="148" t="s">
        <v>152</v>
      </c>
      <c r="E64" s="148" t="s">
        <v>153</v>
      </c>
      <c r="F64" s="148" t="s">
        <v>154</v>
      </c>
      <c r="G64" s="149" t="s">
        <v>16</v>
      </c>
      <c r="H64" s="152"/>
      <c r="I64" s="152"/>
      <c r="J64" s="151"/>
      <c r="K64" s="240"/>
      <c r="L64" s="240"/>
      <c r="M64" s="240"/>
    </row>
    <row r="65" spans="1:13" s="124" customFormat="1" ht="21.95" customHeight="1" x14ac:dyDescent="0.25">
      <c r="A65" s="243" t="str">
        <f>A64</f>
        <v>EM.0025</v>
      </c>
      <c r="B65" s="146">
        <f t="shared" si="20"/>
        <v>55</v>
      </c>
      <c r="C65" s="146">
        <f t="shared" si="20"/>
        <v>1500</v>
      </c>
      <c r="D65" s="148" t="s">
        <v>155</v>
      </c>
      <c r="E65" s="148" t="s">
        <v>156</v>
      </c>
      <c r="F65" s="148"/>
      <c r="G65" s="149" t="s">
        <v>42</v>
      </c>
      <c r="H65" s="152"/>
      <c r="I65" s="152"/>
      <c r="J65" s="151"/>
      <c r="K65" s="240"/>
      <c r="L65" s="240"/>
      <c r="M65" s="240"/>
    </row>
    <row r="66" spans="1:13" s="124" customFormat="1" ht="21.95" customHeight="1" x14ac:dyDescent="0.25">
      <c r="A66" s="242" t="s">
        <v>157</v>
      </c>
      <c r="B66" s="136">
        <v>37</v>
      </c>
      <c r="C66" s="136">
        <v>1500</v>
      </c>
      <c r="D66" s="138" t="s">
        <v>158</v>
      </c>
      <c r="E66" s="137" t="s">
        <v>38</v>
      </c>
      <c r="F66" s="137" t="s">
        <v>159</v>
      </c>
      <c r="G66" s="139" t="s">
        <v>16</v>
      </c>
      <c r="H66" s="139"/>
      <c r="I66" s="139"/>
      <c r="J66" s="140"/>
      <c r="K66" s="240"/>
      <c r="L66" s="240"/>
      <c r="M66" s="240"/>
    </row>
    <row r="67" spans="1:13" s="124" customFormat="1" ht="21.95" customHeight="1" x14ac:dyDescent="0.25">
      <c r="A67" s="242" t="s">
        <v>160</v>
      </c>
      <c r="B67" s="143" t="s">
        <v>25</v>
      </c>
      <c r="C67" s="144"/>
      <c r="D67" s="138" t="s">
        <v>161</v>
      </c>
      <c r="E67" s="137" t="s">
        <v>38</v>
      </c>
      <c r="F67" s="137" t="s">
        <v>159</v>
      </c>
      <c r="G67" s="139" t="s">
        <v>16</v>
      </c>
      <c r="H67" s="139"/>
      <c r="I67" s="139"/>
      <c r="J67" s="140"/>
      <c r="K67" s="240"/>
      <c r="L67" s="240"/>
      <c r="M67" s="240"/>
    </row>
    <row r="68" spans="1:13" s="124" customFormat="1" ht="21.95" customHeight="1" x14ac:dyDescent="0.25">
      <c r="A68" s="243" t="s">
        <v>162</v>
      </c>
      <c r="B68" s="146" t="s">
        <v>115</v>
      </c>
      <c r="C68" s="146">
        <v>1500</v>
      </c>
      <c r="D68" s="148" t="s">
        <v>22</v>
      </c>
      <c r="E68" s="147" t="s">
        <v>38</v>
      </c>
      <c r="F68" s="147" t="s">
        <v>159</v>
      </c>
      <c r="G68" s="149" t="s">
        <v>16</v>
      </c>
      <c r="H68" s="152" t="s">
        <v>163</v>
      </c>
      <c r="I68" s="152"/>
      <c r="J68" s="150" t="s">
        <v>164</v>
      </c>
      <c r="K68" s="240"/>
      <c r="L68" s="240"/>
      <c r="M68" s="240"/>
    </row>
    <row r="69" spans="1:13" s="124" customFormat="1" ht="21.95" customHeight="1" x14ac:dyDescent="0.25">
      <c r="A69" s="243" t="str">
        <f>A68</f>
        <v>EM.0028</v>
      </c>
      <c r="B69" s="146" t="str">
        <f t="shared" ref="B69:C70" si="21">B68</f>
        <v>2.2</v>
      </c>
      <c r="C69" s="146">
        <f t="shared" si="21"/>
        <v>1500</v>
      </c>
      <c r="D69" s="148" t="s">
        <v>165</v>
      </c>
      <c r="E69" s="147" t="s">
        <v>140</v>
      </c>
      <c r="F69" s="147"/>
      <c r="G69" s="149" t="s">
        <v>42</v>
      </c>
      <c r="H69" s="152" t="s">
        <v>166</v>
      </c>
      <c r="I69" s="152"/>
      <c r="J69" s="155"/>
      <c r="K69" s="240"/>
      <c r="L69" s="240"/>
      <c r="M69" s="240"/>
    </row>
    <row r="70" spans="1:13" s="124" customFormat="1" ht="21.95" customHeight="1" x14ac:dyDescent="0.25">
      <c r="A70" s="243" t="str">
        <f>A69</f>
        <v>EM.0028</v>
      </c>
      <c r="B70" s="146" t="str">
        <f t="shared" si="21"/>
        <v>2.2</v>
      </c>
      <c r="C70" s="146">
        <f t="shared" si="21"/>
        <v>1500</v>
      </c>
      <c r="D70" s="148" t="s">
        <v>167</v>
      </c>
      <c r="E70" s="147" t="s">
        <v>167</v>
      </c>
      <c r="F70" s="147"/>
      <c r="G70" s="149" t="s">
        <v>42</v>
      </c>
      <c r="H70" s="152"/>
      <c r="I70" s="152"/>
      <c r="J70" s="155"/>
      <c r="K70" s="240"/>
      <c r="L70" s="240"/>
      <c r="M70" s="240"/>
    </row>
    <row r="71" spans="1:13" s="124" customFormat="1" ht="21.95" customHeight="1" x14ac:dyDescent="0.25">
      <c r="A71" s="242" t="s">
        <v>168</v>
      </c>
      <c r="B71" s="136" t="s">
        <v>115</v>
      </c>
      <c r="C71" s="136">
        <v>1500</v>
      </c>
      <c r="D71" s="137" t="s">
        <v>169</v>
      </c>
      <c r="E71" s="137" t="s">
        <v>38</v>
      </c>
      <c r="F71" s="137" t="s">
        <v>159</v>
      </c>
      <c r="G71" s="139" t="s">
        <v>16</v>
      </c>
      <c r="H71" s="139" t="s">
        <v>170</v>
      </c>
      <c r="I71" s="139"/>
      <c r="J71" s="140"/>
      <c r="K71" s="240"/>
      <c r="L71" s="240"/>
      <c r="M71" s="240"/>
    </row>
    <row r="72" spans="1:13" s="124" customFormat="1" ht="21.95" customHeight="1" x14ac:dyDescent="0.25">
      <c r="A72" s="242" t="str">
        <f>A71</f>
        <v>EM.0029</v>
      </c>
      <c r="B72" s="136" t="str">
        <f t="shared" ref="B72:C72" si="22">B71</f>
        <v>2.2</v>
      </c>
      <c r="C72" s="136">
        <f t="shared" si="22"/>
        <v>1500</v>
      </c>
      <c r="D72" s="137" t="s">
        <v>171</v>
      </c>
      <c r="E72" s="137" t="s">
        <v>172</v>
      </c>
      <c r="F72" s="137" t="s">
        <v>173</v>
      </c>
      <c r="G72" s="139" t="s">
        <v>58</v>
      </c>
      <c r="H72" s="139"/>
      <c r="I72" s="139"/>
      <c r="J72" s="140"/>
      <c r="K72" s="240"/>
      <c r="L72" s="240"/>
      <c r="M72" s="240"/>
    </row>
    <row r="73" spans="1:13" s="124" customFormat="1" ht="21.95" customHeight="1" x14ac:dyDescent="0.25">
      <c r="A73" s="243" t="s">
        <v>174</v>
      </c>
      <c r="B73" s="146">
        <v>4</v>
      </c>
      <c r="C73" s="146">
        <v>1500</v>
      </c>
      <c r="D73" s="147" t="s">
        <v>175</v>
      </c>
      <c r="E73" s="147" t="s">
        <v>38</v>
      </c>
      <c r="F73" s="147" t="s">
        <v>159</v>
      </c>
      <c r="G73" s="149" t="s">
        <v>16</v>
      </c>
      <c r="H73" s="152" t="s">
        <v>176</v>
      </c>
      <c r="I73" s="152" t="s">
        <v>177</v>
      </c>
      <c r="J73" s="151"/>
      <c r="K73" s="240"/>
      <c r="L73" s="240"/>
      <c r="M73" s="240"/>
    </row>
    <row r="74" spans="1:13" s="124" customFormat="1" ht="21.95" customHeight="1" x14ac:dyDescent="0.25">
      <c r="A74" s="243" t="str">
        <f t="shared" ref="A74:A77" si="23">A73</f>
        <v>EM.0030</v>
      </c>
      <c r="B74" s="146">
        <f t="shared" ref="B74:C77" si="24">B73</f>
        <v>4</v>
      </c>
      <c r="C74" s="146">
        <f t="shared" si="24"/>
        <v>1500</v>
      </c>
      <c r="D74" s="148" t="s">
        <v>136</v>
      </c>
      <c r="E74" s="147" t="s">
        <v>49</v>
      </c>
      <c r="F74" s="147" t="s">
        <v>178</v>
      </c>
      <c r="G74" s="149" t="s">
        <v>12</v>
      </c>
      <c r="H74" s="152" t="s">
        <v>179</v>
      </c>
      <c r="I74" s="152" t="s">
        <v>177</v>
      </c>
      <c r="J74" s="151"/>
      <c r="K74" s="240"/>
      <c r="L74" s="240"/>
      <c r="M74" s="240"/>
    </row>
    <row r="75" spans="1:13" s="124" customFormat="1" ht="21.95" customHeight="1" x14ac:dyDescent="0.25">
      <c r="A75" s="243" t="str">
        <f t="shared" si="23"/>
        <v>EM.0030</v>
      </c>
      <c r="B75" s="146">
        <f t="shared" si="24"/>
        <v>4</v>
      </c>
      <c r="C75" s="146">
        <f t="shared" si="24"/>
        <v>1500</v>
      </c>
      <c r="D75" s="148" t="s">
        <v>180</v>
      </c>
      <c r="E75" s="148" t="s">
        <v>181</v>
      </c>
      <c r="F75" s="147"/>
      <c r="G75" s="149" t="s">
        <v>42</v>
      </c>
      <c r="H75" s="152"/>
      <c r="I75" s="152" t="s">
        <v>177</v>
      </c>
      <c r="J75" s="151"/>
      <c r="K75" s="240"/>
      <c r="L75" s="240"/>
      <c r="M75" s="240"/>
    </row>
    <row r="76" spans="1:13" s="124" customFormat="1" ht="21.95" customHeight="1" x14ac:dyDescent="0.25">
      <c r="A76" s="243" t="str">
        <f t="shared" si="23"/>
        <v>EM.0030</v>
      </c>
      <c r="B76" s="146">
        <f t="shared" si="24"/>
        <v>4</v>
      </c>
      <c r="C76" s="146">
        <f t="shared" si="24"/>
        <v>1500</v>
      </c>
      <c r="D76" s="148" t="s">
        <v>83</v>
      </c>
      <c r="E76" s="148" t="s">
        <v>84</v>
      </c>
      <c r="F76" s="147" t="s">
        <v>85</v>
      </c>
      <c r="G76" s="149" t="s">
        <v>42</v>
      </c>
      <c r="H76" s="152"/>
      <c r="I76" s="152" t="s">
        <v>177</v>
      </c>
      <c r="J76" s="151"/>
      <c r="K76" s="240"/>
      <c r="L76" s="240"/>
      <c r="M76" s="240"/>
    </row>
    <row r="77" spans="1:13" s="124" customFormat="1" ht="21.95" customHeight="1" x14ac:dyDescent="0.25">
      <c r="A77" s="243" t="str">
        <f t="shared" si="23"/>
        <v>EM.0030</v>
      </c>
      <c r="B77" s="146">
        <f t="shared" si="24"/>
        <v>4</v>
      </c>
      <c r="C77" s="146">
        <f t="shared" si="24"/>
        <v>1500</v>
      </c>
      <c r="D77" s="148" t="s">
        <v>182</v>
      </c>
      <c r="E77" s="148" t="s">
        <v>182</v>
      </c>
      <c r="F77" s="147" t="s">
        <v>183</v>
      </c>
      <c r="G77" s="149" t="s">
        <v>42</v>
      </c>
      <c r="H77" s="152"/>
      <c r="I77" s="152" t="s">
        <v>177</v>
      </c>
      <c r="J77" s="151"/>
      <c r="K77" s="240"/>
      <c r="L77" s="240"/>
      <c r="M77" s="240"/>
    </row>
    <row r="78" spans="1:13" s="124" customFormat="1" ht="21.95" customHeight="1" x14ac:dyDescent="0.25">
      <c r="A78" s="243" t="s">
        <v>174</v>
      </c>
      <c r="B78" s="146">
        <v>4</v>
      </c>
      <c r="C78" s="146">
        <v>1500</v>
      </c>
      <c r="D78" s="148">
        <v>45296</v>
      </c>
      <c r="E78" s="148">
        <v>45306</v>
      </c>
      <c r="F78" s="147">
        <v>45321</v>
      </c>
      <c r="G78" s="149" t="s">
        <v>58</v>
      </c>
      <c r="H78" s="152"/>
      <c r="I78" s="152" t="s">
        <v>177</v>
      </c>
      <c r="J78" s="151"/>
      <c r="K78" s="240"/>
      <c r="L78" s="240"/>
      <c r="M78" s="240"/>
    </row>
    <row r="79" spans="1:13" s="124" customFormat="1" ht="21.95" customHeight="1" x14ac:dyDescent="0.25">
      <c r="A79" s="243" t="str">
        <f t="shared" ref="A79:C80" si="25">A77</f>
        <v>EM.0030</v>
      </c>
      <c r="B79" s="146">
        <f t="shared" si="25"/>
        <v>4</v>
      </c>
      <c r="C79" s="146">
        <f t="shared" si="25"/>
        <v>1500</v>
      </c>
      <c r="D79" s="148">
        <v>45399</v>
      </c>
      <c r="E79" s="148">
        <v>45399</v>
      </c>
      <c r="F79" s="147">
        <v>45422</v>
      </c>
      <c r="G79" s="149" t="s">
        <v>58</v>
      </c>
      <c r="H79" s="152"/>
      <c r="I79" s="152" t="s">
        <v>177</v>
      </c>
      <c r="J79" s="151"/>
      <c r="K79" s="240"/>
      <c r="L79" s="240"/>
      <c r="M79" s="240"/>
    </row>
    <row r="80" spans="1:13" s="124" customFormat="1" ht="21.95" customHeight="1" x14ac:dyDescent="0.25">
      <c r="A80" s="243" t="str">
        <f t="shared" si="25"/>
        <v>EM.0030</v>
      </c>
      <c r="B80" s="146">
        <f t="shared" si="25"/>
        <v>4</v>
      </c>
      <c r="C80" s="146">
        <f t="shared" si="25"/>
        <v>1500</v>
      </c>
      <c r="D80" s="148">
        <v>45588</v>
      </c>
      <c r="E80" s="148">
        <v>45588</v>
      </c>
      <c r="F80" s="147">
        <v>45614</v>
      </c>
      <c r="G80" s="149" t="s">
        <v>58</v>
      </c>
      <c r="H80" s="152"/>
      <c r="I80" s="152" t="s">
        <v>661</v>
      </c>
      <c r="J80" s="151"/>
      <c r="K80" s="240"/>
      <c r="L80" s="240"/>
      <c r="M80" s="240"/>
    </row>
    <row r="81" spans="1:13" s="124" customFormat="1" ht="21.95" customHeight="1" x14ac:dyDescent="0.25">
      <c r="A81" s="243" t="s">
        <v>184</v>
      </c>
      <c r="B81" s="146" t="s">
        <v>185</v>
      </c>
      <c r="C81" s="146">
        <v>1500</v>
      </c>
      <c r="D81" s="147" t="s">
        <v>186</v>
      </c>
      <c r="E81" s="148" t="s">
        <v>81</v>
      </c>
      <c r="F81" s="147" t="s">
        <v>82</v>
      </c>
      <c r="G81" s="149" t="s">
        <v>42</v>
      </c>
      <c r="H81" s="149" t="s">
        <v>187</v>
      </c>
      <c r="I81" s="149"/>
      <c r="J81" s="153"/>
      <c r="K81" s="240"/>
      <c r="L81" s="240"/>
      <c r="M81" s="240"/>
    </row>
    <row r="82" spans="1:13" s="124" customFormat="1" ht="21.95" customHeight="1" x14ac:dyDescent="0.25">
      <c r="A82" s="243" t="str">
        <f t="shared" ref="A82:A86" si="26">A81</f>
        <v>EM.0031</v>
      </c>
      <c r="B82" s="146" t="str">
        <f t="shared" ref="B82:C86" si="27">B81</f>
        <v>3.7</v>
      </c>
      <c r="C82" s="146">
        <f t="shared" si="27"/>
        <v>1500</v>
      </c>
      <c r="D82" s="148" t="s">
        <v>188</v>
      </c>
      <c r="E82" s="148" t="s">
        <v>139</v>
      </c>
      <c r="F82" s="148" t="s">
        <v>586</v>
      </c>
      <c r="G82" s="149" t="s">
        <v>16</v>
      </c>
      <c r="H82" s="149" t="s">
        <v>189</v>
      </c>
      <c r="I82" s="149" t="s">
        <v>499</v>
      </c>
      <c r="J82" s="155" t="s">
        <v>190</v>
      </c>
      <c r="K82" s="240"/>
      <c r="L82" s="240"/>
      <c r="M82" s="240"/>
    </row>
    <row r="83" spans="1:13" s="124" customFormat="1" ht="21.95" customHeight="1" x14ac:dyDescent="0.25">
      <c r="A83" s="243" t="str">
        <f t="shared" si="26"/>
        <v>EM.0031</v>
      </c>
      <c r="B83" s="146" t="str">
        <f t="shared" si="27"/>
        <v>3.7</v>
      </c>
      <c r="C83" s="146">
        <f t="shared" si="27"/>
        <v>1500</v>
      </c>
      <c r="D83" s="148"/>
      <c r="E83" s="148"/>
      <c r="F83" s="148"/>
      <c r="G83" s="151"/>
      <c r="H83" s="149"/>
      <c r="I83" s="149" t="s">
        <v>499</v>
      </c>
      <c r="J83" s="150" t="s">
        <v>191</v>
      </c>
      <c r="K83" s="240"/>
      <c r="L83" s="240"/>
      <c r="M83" s="240"/>
    </row>
    <row r="84" spans="1:13" s="124" customFormat="1" ht="21.95" customHeight="1" x14ac:dyDescent="0.25">
      <c r="A84" s="243" t="str">
        <f t="shared" si="26"/>
        <v>EM.0031</v>
      </c>
      <c r="B84" s="146" t="str">
        <f t="shared" si="27"/>
        <v>3.7</v>
      </c>
      <c r="C84" s="146">
        <f t="shared" si="27"/>
        <v>1500</v>
      </c>
      <c r="D84" s="154" t="s">
        <v>192</v>
      </c>
      <c r="E84" s="148" t="s">
        <v>153</v>
      </c>
      <c r="F84" s="154"/>
      <c r="G84" s="149" t="s">
        <v>16</v>
      </c>
      <c r="H84" s="158"/>
      <c r="I84" s="149" t="s">
        <v>499</v>
      </c>
      <c r="J84" s="155"/>
      <c r="K84" s="240"/>
      <c r="L84" s="240"/>
      <c r="M84" s="240"/>
    </row>
    <row r="85" spans="1:13" s="124" customFormat="1" ht="21.95" customHeight="1" x14ac:dyDescent="0.25">
      <c r="A85" s="243" t="str">
        <f t="shared" si="26"/>
        <v>EM.0031</v>
      </c>
      <c r="B85" s="146" t="str">
        <f t="shared" si="27"/>
        <v>3.7</v>
      </c>
      <c r="C85" s="146">
        <f t="shared" si="27"/>
        <v>1500</v>
      </c>
      <c r="D85" s="148" t="s">
        <v>193</v>
      </c>
      <c r="E85" s="148" t="s">
        <v>194</v>
      </c>
      <c r="F85" s="154"/>
      <c r="G85" s="149" t="s">
        <v>58</v>
      </c>
      <c r="H85" s="158"/>
      <c r="I85" s="149" t="s">
        <v>499</v>
      </c>
      <c r="J85" s="155"/>
      <c r="K85" s="240"/>
      <c r="L85" s="240"/>
      <c r="M85" s="240"/>
    </row>
    <row r="86" spans="1:13" s="124" customFormat="1" ht="21.95" customHeight="1" x14ac:dyDescent="0.25">
      <c r="A86" s="243" t="str">
        <f t="shared" si="26"/>
        <v>EM.0031</v>
      </c>
      <c r="B86" s="146" t="str">
        <f t="shared" si="27"/>
        <v>3.7</v>
      </c>
      <c r="C86" s="146">
        <f t="shared" si="27"/>
        <v>1500</v>
      </c>
      <c r="D86" s="148" t="s">
        <v>195</v>
      </c>
      <c r="E86" s="148" t="s">
        <v>196</v>
      </c>
      <c r="F86" s="154"/>
      <c r="G86" s="149" t="s">
        <v>58</v>
      </c>
      <c r="H86" s="158"/>
      <c r="I86" s="149" t="s">
        <v>499</v>
      </c>
      <c r="J86" s="155"/>
      <c r="K86" s="240"/>
      <c r="L86" s="240"/>
      <c r="M86" s="240"/>
    </row>
    <row r="87" spans="1:13" s="124" customFormat="1" ht="21.95" customHeight="1" x14ac:dyDescent="0.25">
      <c r="A87" s="243" t="s">
        <v>197</v>
      </c>
      <c r="B87" s="146" t="s">
        <v>30</v>
      </c>
      <c r="C87" s="159">
        <v>1500</v>
      </c>
      <c r="D87" s="147" t="s">
        <v>186</v>
      </c>
      <c r="E87" s="147" t="s">
        <v>198</v>
      </c>
      <c r="F87" s="147" t="s">
        <v>199</v>
      </c>
      <c r="G87" s="149" t="s">
        <v>16</v>
      </c>
      <c r="H87" s="149"/>
      <c r="I87" s="149" t="s">
        <v>200</v>
      </c>
      <c r="J87" s="151"/>
      <c r="K87" s="240"/>
      <c r="L87" s="240"/>
      <c r="M87" s="240"/>
    </row>
    <row r="88" spans="1:13" s="124" customFormat="1" ht="21.95" customHeight="1" x14ac:dyDescent="0.25">
      <c r="A88" s="243" t="s">
        <v>197</v>
      </c>
      <c r="B88" s="146" t="s">
        <v>30</v>
      </c>
      <c r="C88" s="159">
        <v>1500</v>
      </c>
      <c r="D88" s="147">
        <v>45296</v>
      </c>
      <c r="E88" s="147">
        <v>45306</v>
      </c>
      <c r="F88" s="147">
        <v>45321</v>
      </c>
      <c r="G88" s="149" t="s">
        <v>58</v>
      </c>
      <c r="H88" s="149"/>
      <c r="I88" s="149" t="s">
        <v>200</v>
      </c>
      <c r="J88" s="151"/>
      <c r="K88" s="240"/>
      <c r="L88" s="240"/>
      <c r="M88" s="240"/>
    </row>
    <row r="89" spans="1:13" s="124" customFormat="1" ht="21.95" customHeight="1" x14ac:dyDescent="0.25">
      <c r="A89" s="243" t="str">
        <f>A87</f>
        <v>EM.0032</v>
      </c>
      <c r="B89" s="146" t="str">
        <f>B87</f>
        <v>7.5</v>
      </c>
      <c r="C89" s="159">
        <f t="shared" ref="C89:C90" si="28">C87</f>
        <v>1500</v>
      </c>
      <c r="D89" s="147">
        <v>45451</v>
      </c>
      <c r="E89" s="147">
        <v>45451</v>
      </c>
      <c r="F89" s="147">
        <v>45475</v>
      </c>
      <c r="G89" s="149" t="s">
        <v>58</v>
      </c>
      <c r="H89" s="149"/>
      <c r="I89" s="149" t="s">
        <v>200</v>
      </c>
      <c r="J89" s="151"/>
      <c r="K89" s="240"/>
      <c r="L89" s="240"/>
      <c r="M89" s="240"/>
    </row>
    <row r="90" spans="1:13" s="124" customFormat="1" ht="21.95" customHeight="1" x14ac:dyDescent="0.25">
      <c r="A90" s="243" t="str">
        <f>A88</f>
        <v>EM.0032</v>
      </c>
      <c r="B90" s="146" t="str">
        <f>B88</f>
        <v>7.5</v>
      </c>
      <c r="C90" s="159">
        <f t="shared" si="28"/>
        <v>1500</v>
      </c>
      <c r="D90" s="147">
        <v>45495</v>
      </c>
      <c r="E90" s="147">
        <v>45495</v>
      </c>
      <c r="F90" s="147">
        <v>45532</v>
      </c>
      <c r="G90" s="149" t="s">
        <v>58</v>
      </c>
      <c r="H90" s="149"/>
      <c r="I90" s="149" t="s">
        <v>200</v>
      </c>
      <c r="J90" s="151"/>
      <c r="K90" s="240"/>
      <c r="L90" s="240"/>
      <c r="M90" s="240"/>
    </row>
    <row r="91" spans="1:13" s="124" customFormat="1" ht="21.95" customHeight="1" x14ac:dyDescent="0.25">
      <c r="A91" s="242" t="s">
        <v>201</v>
      </c>
      <c r="B91" s="176" t="s">
        <v>202</v>
      </c>
      <c r="C91" s="160"/>
      <c r="D91" s="137" t="s">
        <v>38</v>
      </c>
      <c r="E91" s="138" t="s">
        <v>81</v>
      </c>
      <c r="F91" s="137" t="s">
        <v>82</v>
      </c>
      <c r="G91" s="139" t="s">
        <v>42</v>
      </c>
      <c r="H91" s="139"/>
      <c r="I91" s="139"/>
      <c r="J91" s="161"/>
      <c r="K91" s="240"/>
      <c r="L91" s="240"/>
      <c r="M91" s="240"/>
    </row>
    <row r="92" spans="1:13" s="124" customFormat="1" ht="21.95" customHeight="1" x14ac:dyDescent="0.25">
      <c r="A92" s="243" t="s">
        <v>203</v>
      </c>
      <c r="B92" s="146">
        <v>22</v>
      </c>
      <c r="C92" s="146">
        <v>3000</v>
      </c>
      <c r="D92" s="147" t="s">
        <v>80</v>
      </c>
      <c r="E92" s="148" t="s">
        <v>14</v>
      </c>
      <c r="F92" s="148" t="s">
        <v>15</v>
      </c>
      <c r="G92" s="149" t="s">
        <v>16</v>
      </c>
      <c r="H92" s="149"/>
      <c r="I92" s="149"/>
      <c r="J92" s="151"/>
      <c r="K92" s="240"/>
      <c r="L92" s="240"/>
      <c r="M92" s="240"/>
    </row>
    <row r="93" spans="1:13" s="124" customFormat="1" ht="21.95" customHeight="1" x14ac:dyDescent="0.25">
      <c r="A93" s="243" t="str">
        <f t="shared" ref="A93:A97" si="29">A92</f>
        <v>EM.0034</v>
      </c>
      <c r="B93" s="146">
        <v>3</v>
      </c>
      <c r="C93" s="146">
        <v>1500</v>
      </c>
      <c r="D93" s="147" t="s">
        <v>204</v>
      </c>
      <c r="E93" s="147" t="s">
        <v>198</v>
      </c>
      <c r="F93" s="147" t="s">
        <v>14</v>
      </c>
      <c r="G93" s="149" t="s">
        <v>16</v>
      </c>
      <c r="H93" s="149" t="s">
        <v>205</v>
      </c>
      <c r="I93" s="149"/>
      <c r="J93" s="150" t="s">
        <v>206</v>
      </c>
      <c r="K93" s="240"/>
      <c r="L93" s="240"/>
      <c r="M93" s="240"/>
    </row>
    <row r="94" spans="1:13" s="124" customFormat="1" ht="21.95" customHeight="1" x14ac:dyDescent="0.25">
      <c r="A94" s="243" t="str">
        <f t="shared" si="29"/>
        <v>EM.0034</v>
      </c>
      <c r="B94" s="146">
        <f t="shared" ref="B94:C97" si="30">B93</f>
        <v>3</v>
      </c>
      <c r="C94" s="146">
        <f t="shared" si="30"/>
        <v>1500</v>
      </c>
      <c r="D94" s="147" t="s">
        <v>207</v>
      </c>
      <c r="E94" s="148" t="s">
        <v>121</v>
      </c>
      <c r="F94" s="147" t="s">
        <v>23</v>
      </c>
      <c r="G94" s="149" t="s">
        <v>42</v>
      </c>
      <c r="H94" s="152" t="s">
        <v>208</v>
      </c>
      <c r="I94" s="152"/>
      <c r="J94" s="151"/>
      <c r="K94" s="240"/>
      <c r="L94" s="240"/>
      <c r="M94" s="240"/>
    </row>
    <row r="95" spans="1:13" s="124" customFormat="1" ht="21.95" customHeight="1" x14ac:dyDescent="0.25">
      <c r="A95" s="243" t="str">
        <f t="shared" si="29"/>
        <v>EM.0034</v>
      </c>
      <c r="B95" s="146">
        <f t="shared" si="30"/>
        <v>3</v>
      </c>
      <c r="C95" s="146">
        <f t="shared" si="30"/>
        <v>1500</v>
      </c>
      <c r="D95" s="148" t="s">
        <v>180</v>
      </c>
      <c r="E95" s="148" t="s">
        <v>181</v>
      </c>
      <c r="F95" s="148" t="s">
        <v>209</v>
      </c>
      <c r="G95" s="149" t="s">
        <v>42</v>
      </c>
      <c r="H95" s="152"/>
      <c r="I95" s="152"/>
      <c r="J95" s="150" t="s">
        <v>210</v>
      </c>
      <c r="K95" s="240"/>
      <c r="L95" s="240"/>
      <c r="M95" s="240"/>
    </row>
    <row r="96" spans="1:13" s="124" customFormat="1" ht="21.95" customHeight="1" x14ac:dyDescent="0.25">
      <c r="A96" s="243" t="str">
        <f t="shared" si="29"/>
        <v>EM.0034</v>
      </c>
      <c r="B96" s="146">
        <f t="shared" si="30"/>
        <v>3</v>
      </c>
      <c r="C96" s="146">
        <f t="shared" si="30"/>
        <v>1500</v>
      </c>
      <c r="D96" s="148" t="s">
        <v>209</v>
      </c>
      <c r="E96" s="148" t="s">
        <v>211</v>
      </c>
      <c r="F96" s="148" t="s">
        <v>83</v>
      </c>
      <c r="G96" s="149" t="s">
        <v>42</v>
      </c>
      <c r="H96" s="152" t="s">
        <v>212</v>
      </c>
      <c r="I96" s="152"/>
      <c r="J96" s="150"/>
      <c r="K96" s="240"/>
      <c r="L96" s="240"/>
      <c r="M96" s="240"/>
    </row>
    <row r="97" spans="1:13" s="124" customFormat="1" ht="21.95" customHeight="1" x14ac:dyDescent="0.25">
      <c r="A97" s="243" t="str">
        <f t="shared" si="29"/>
        <v>EM.0034</v>
      </c>
      <c r="B97" s="146">
        <f t="shared" si="30"/>
        <v>3</v>
      </c>
      <c r="C97" s="146">
        <f t="shared" si="30"/>
        <v>1500</v>
      </c>
      <c r="D97" s="148" t="s">
        <v>110</v>
      </c>
      <c r="E97" s="148" t="s">
        <v>111</v>
      </c>
      <c r="F97" s="148" t="s">
        <v>213</v>
      </c>
      <c r="G97" s="149" t="s">
        <v>16</v>
      </c>
      <c r="H97" s="152"/>
      <c r="I97" s="152"/>
      <c r="J97" s="151"/>
      <c r="K97" s="240"/>
      <c r="L97" s="240"/>
      <c r="M97" s="240"/>
    </row>
    <row r="98" spans="1:13" s="124" customFormat="1" ht="21.95" customHeight="1" x14ac:dyDescent="0.25">
      <c r="A98" s="242" t="s">
        <v>214</v>
      </c>
      <c r="B98" s="136" t="s">
        <v>144</v>
      </c>
      <c r="C98" s="136">
        <v>1500</v>
      </c>
      <c r="D98" s="137" t="s">
        <v>215</v>
      </c>
      <c r="E98" s="137" t="s">
        <v>198</v>
      </c>
      <c r="F98" s="137" t="s">
        <v>199</v>
      </c>
      <c r="G98" s="139" t="s">
        <v>16</v>
      </c>
      <c r="H98" s="139"/>
      <c r="I98" s="139"/>
      <c r="J98" s="140"/>
      <c r="K98" s="240"/>
      <c r="L98" s="240"/>
      <c r="M98" s="240"/>
    </row>
    <row r="99" spans="1:13" s="124" customFormat="1" ht="21.95" customHeight="1" x14ac:dyDescent="0.25">
      <c r="A99" s="242" t="str">
        <f>A98</f>
        <v>EM.0036</v>
      </c>
      <c r="B99" s="136" t="str">
        <f>B98</f>
        <v>1.5</v>
      </c>
      <c r="C99" s="136">
        <f t="shared" ref="C99" si="31">C98</f>
        <v>1500</v>
      </c>
      <c r="D99" s="138" t="s">
        <v>83</v>
      </c>
      <c r="E99" s="138" t="s">
        <v>84</v>
      </c>
      <c r="F99" s="138" t="s">
        <v>216</v>
      </c>
      <c r="G99" s="139" t="s">
        <v>16</v>
      </c>
      <c r="H99" s="139"/>
      <c r="I99" s="139"/>
      <c r="J99" s="140" t="s">
        <v>217</v>
      </c>
      <c r="K99" s="240"/>
      <c r="L99" s="240"/>
      <c r="M99" s="240"/>
    </row>
    <row r="100" spans="1:13" s="124" customFormat="1" ht="21.95" customHeight="1" x14ac:dyDescent="0.25">
      <c r="A100" s="242" t="s">
        <v>218</v>
      </c>
      <c r="B100" s="143" t="s">
        <v>25</v>
      </c>
      <c r="C100" s="144"/>
      <c r="D100" s="137" t="s">
        <v>150</v>
      </c>
      <c r="E100" s="138" t="s">
        <v>81</v>
      </c>
      <c r="F100" s="137" t="s">
        <v>82</v>
      </c>
      <c r="G100" s="139" t="s">
        <v>42</v>
      </c>
      <c r="H100" s="139"/>
      <c r="I100" s="139"/>
      <c r="J100" s="140"/>
      <c r="K100" s="240"/>
      <c r="L100" s="240"/>
      <c r="M100" s="240"/>
    </row>
    <row r="101" spans="1:13" s="124" customFormat="1" ht="21.95" customHeight="1" x14ac:dyDescent="0.25">
      <c r="A101" s="242" t="str">
        <f>A100</f>
        <v>EM.0037</v>
      </c>
      <c r="B101" s="143" t="str">
        <f t="shared" ref="B101" si="32">B100</f>
        <v>Dinamo Cas WL</v>
      </c>
      <c r="C101" s="144"/>
      <c r="D101" s="138" t="s">
        <v>153</v>
      </c>
      <c r="E101" s="138"/>
      <c r="F101" s="137"/>
      <c r="G101" s="139"/>
      <c r="H101" s="139"/>
      <c r="I101" s="139"/>
      <c r="J101" s="140"/>
      <c r="K101" s="240"/>
      <c r="L101" s="240"/>
      <c r="M101" s="240"/>
    </row>
    <row r="102" spans="1:13" s="124" customFormat="1" ht="21.95" customHeight="1" x14ac:dyDescent="0.25">
      <c r="A102" s="242" t="s">
        <v>219</v>
      </c>
      <c r="B102" s="136" t="s">
        <v>115</v>
      </c>
      <c r="C102" s="136">
        <v>1500</v>
      </c>
      <c r="D102" s="137" t="s">
        <v>150</v>
      </c>
      <c r="E102" s="137" t="s">
        <v>198</v>
      </c>
      <c r="F102" s="137" t="s">
        <v>199</v>
      </c>
      <c r="G102" s="139" t="s">
        <v>16</v>
      </c>
      <c r="H102" s="139" t="s">
        <v>199</v>
      </c>
      <c r="I102" s="139"/>
      <c r="J102" s="140"/>
      <c r="K102" s="240"/>
      <c r="L102" s="240"/>
      <c r="M102" s="240"/>
    </row>
    <row r="103" spans="1:13" s="124" customFormat="1" ht="21.95" customHeight="1" x14ac:dyDescent="0.25">
      <c r="A103" s="242" t="str">
        <f>A102</f>
        <v>EM.0038</v>
      </c>
      <c r="B103" s="136" t="str">
        <f t="shared" ref="B103:C103" si="33">B102</f>
        <v>2.2</v>
      </c>
      <c r="C103" s="136">
        <f t="shared" si="33"/>
        <v>1500</v>
      </c>
      <c r="D103" s="138" t="s">
        <v>220</v>
      </c>
      <c r="E103" s="137" t="s">
        <v>111</v>
      </c>
      <c r="F103" s="137" t="s">
        <v>213</v>
      </c>
      <c r="G103" s="139" t="s">
        <v>16</v>
      </c>
      <c r="H103" s="139"/>
      <c r="I103" s="139"/>
      <c r="J103" s="140"/>
      <c r="K103" s="240"/>
      <c r="L103" s="240"/>
      <c r="M103" s="240"/>
    </row>
    <row r="104" spans="1:13" s="124" customFormat="1" ht="21.95" customHeight="1" x14ac:dyDescent="0.25">
      <c r="A104" s="243" t="s">
        <v>221</v>
      </c>
      <c r="B104" s="162" t="s">
        <v>115</v>
      </c>
      <c r="C104" s="146">
        <v>1500</v>
      </c>
      <c r="D104" s="147" t="s">
        <v>222</v>
      </c>
      <c r="E104" s="147" t="s">
        <v>198</v>
      </c>
      <c r="F104" s="147" t="s">
        <v>199</v>
      </c>
      <c r="G104" s="149" t="s">
        <v>16</v>
      </c>
      <c r="H104" s="149"/>
      <c r="I104" s="149" t="s">
        <v>559</v>
      </c>
      <c r="J104" s="151"/>
      <c r="K104" s="240"/>
      <c r="L104" s="240"/>
      <c r="M104" s="240"/>
    </row>
    <row r="105" spans="1:13" s="124" customFormat="1" ht="21.95" customHeight="1" x14ac:dyDescent="0.25">
      <c r="A105" s="243" t="str">
        <f t="shared" ref="A105" si="34">A104</f>
        <v>EM.0039</v>
      </c>
      <c r="B105" s="162" t="str">
        <f t="shared" ref="B105" si="35">B104</f>
        <v>2.2</v>
      </c>
      <c r="C105" s="146">
        <f t="shared" ref="C105" si="36">C104</f>
        <v>1500</v>
      </c>
      <c r="D105" s="148" t="s">
        <v>223</v>
      </c>
      <c r="E105" s="147" t="s">
        <v>111</v>
      </c>
      <c r="F105" s="147" t="s">
        <v>213</v>
      </c>
      <c r="G105" s="149" t="s">
        <v>16</v>
      </c>
      <c r="H105" s="149"/>
      <c r="I105" s="149" t="s">
        <v>559</v>
      </c>
      <c r="J105" s="151"/>
      <c r="K105" s="240"/>
      <c r="L105" s="240"/>
      <c r="M105" s="240"/>
    </row>
    <row r="106" spans="1:13" s="124" customFormat="1" ht="21.95" customHeight="1" x14ac:dyDescent="0.25">
      <c r="A106" s="243" t="s">
        <v>221</v>
      </c>
      <c r="B106" s="162" t="s">
        <v>115</v>
      </c>
      <c r="C106" s="146">
        <v>1500</v>
      </c>
      <c r="D106" s="148" t="s">
        <v>224</v>
      </c>
      <c r="E106" s="147" t="s">
        <v>225</v>
      </c>
      <c r="F106" s="147" t="s">
        <v>226</v>
      </c>
      <c r="G106" s="149" t="s">
        <v>58</v>
      </c>
      <c r="H106" s="149"/>
      <c r="I106" s="149" t="s">
        <v>559</v>
      </c>
      <c r="J106" s="151"/>
      <c r="K106" s="240"/>
      <c r="L106" s="240"/>
      <c r="M106" s="240"/>
    </row>
    <row r="107" spans="1:13" s="124" customFormat="1" ht="21.95" customHeight="1" x14ac:dyDescent="0.25">
      <c r="A107" s="243" t="str">
        <f t="shared" ref="A107:C108" si="37">A105</f>
        <v>EM.0039</v>
      </c>
      <c r="B107" s="162" t="str">
        <f t="shared" si="37"/>
        <v>2.2</v>
      </c>
      <c r="C107" s="146">
        <f t="shared" si="37"/>
        <v>1500</v>
      </c>
      <c r="D107" s="148">
        <v>45399</v>
      </c>
      <c r="E107" s="148">
        <v>45399</v>
      </c>
      <c r="F107" s="147">
        <v>45422</v>
      </c>
      <c r="G107" s="149" t="s">
        <v>58</v>
      </c>
      <c r="H107" s="149"/>
      <c r="I107" s="149" t="s">
        <v>559</v>
      </c>
      <c r="J107" s="151"/>
      <c r="K107" s="240"/>
      <c r="L107" s="240"/>
      <c r="M107" s="240"/>
    </row>
    <row r="108" spans="1:13" s="124" customFormat="1" ht="21.95" customHeight="1" x14ac:dyDescent="0.25">
      <c r="A108" s="242" t="str">
        <f t="shared" si="37"/>
        <v>EM.0039</v>
      </c>
      <c r="B108" s="141" t="str">
        <f t="shared" si="37"/>
        <v>2.2</v>
      </c>
      <c r="C108" s="136">
        <f t="shared" si="37"/>
        <v>1500</v>
      </c>
      <c r="D108" s="138"/>
      <c r="E108" s="138">
        <v>45708</v>
      </c>
      <c r="F108" s="137">
        <v>45740</v>
      </c>
      <c r="G108" s="139" t="s">
        <v>58</v>
      </c>
      <c r="H108" s="139"/>
      <c r="I108" s="139" t="s">
        <v>683</v>
      </c>
      <c r="J108" s="140"/>
      <c r="K108" s="240"/>
      <c r="L108" s="240"/>
      <c r="M108" s="240"/>
    </row>
    <row r="109" spans="1:13" s="124" customFormat="1" ht="21.95" customHeight="1" x14ac:dyDescent="0.25">
      <c r="A109" s="242" t="s">
        <v>227</v>
      </c>
      <c r="B109" s="143" t="s">
        <v>228</v>
      </c>
      <c r="C109" s="144"/>
      <c r="D109" s="137" t="s">
        <v>198</v>
      </c>
      <c r="E109" s="138" t="s">
        <v>81</v>
      </c>
      <c r="F109" s="137" t="s">
        <v>82</v>
      </c>
      <c r="G109" s="139" t="s">
        <v>42</v>
      </c>
      <c r="H109" s="139"/>
      <c r="I109" s="139"/>
      <c r="J109" s="140"/>
      <c r="K109" s="240"/>
      <c r="L109" s="240"/>
      <c r="M109" s="240"/>
    </row>
    <row r="110" spans="1:13" s="124" customFormat="1" ht="21.95" customHeight="1" x14ac:dyDescent="0.25">
      <c r="A110" s="242" t="s">
        <v>229</v>
      </c>
      <c r="B110" s="136" t="s">
        <v>30</v>
      </c>
      <c r="C110" s="136">
        <v>1500</v>
      </c>
      <c r="D110" s="137" t="s">
        <v>32</v>
      </c>
      <c r="E110" s="138" t="s">
        <v>64</v>
      </c>
      <c r="F110" s="138" t="s">
        <v>65</v>
      </c>
      <c r="G110" s="139" t="s">
        <v>66</v>
      </c>
      <c r="H110" s="139"/>
      <c r="I110" s="139"/>
      <c r="J110" s="140"/>
      <c r="K110" s="240"/>
      <c r="L110" s="240"/>
      <c r="M110" s="240"/>
    </row>
    <row r="111" spans="1:13" s="124" customFormat="1" ht="21.95" customHeight="1" x14ac:dyDescent="0.25">
      <c r="A111" s="243" t="s">
        <v>230</v>
      </c>
      <c r="B111" s="146" t="s">
        <v>30</v>
      </c>
      <c r="C111" s="146">
        <v>1500</v>
      </c>
      <c r="D111" s="147" t="s">
        <v>231</v>
      </c>
      <c r="E111" s="148" t="s">
        <v>14</v>
      </c>
      <c r="F111" s="148" t="s">
        <v>15</v>
      </c>
      <c r="G111" s="149" t="s">
        <v>16</v>
      </c>
      <c r="H111" s="152"/>
      <c r="I111" s="152" t="s">
        <v>578</v>
      </c>
      <c r="J111" s="151"/>
      <c r="K111" s="240"/>
      <c r="L111" s="240"/>
      <c r="M111" s="240"/>
    </row>
    <row r="112" spans="1:13" s="124" customFormat="1" ht="21.95" customHeight="1" x14ac:dyDescent="0.25">
      <c r="A112" s="243" t="str">
        <f t="shared" ref="A112:A113" si="38">A111</f>
        <v>EM.0042</v>
      </c>
      <c r="B112" s="146" t="str">
        <f t="shared" ref="B112:C113" si="39">B111</f>
        <v>7.5</v>
      </c>
      <c r="C112" s="146">
        <f t="shared" si="39"/>
        <v>1500</v>
      </c>
      <c r="D112" s="147" t="s">
        <v>83</v>
      </c>
      <c r="E112" s="148" t="s">
        <v>84</v>
      </c>
      <c r="F112" s="148" t="s">
        <v>232</v>
      </c>
      <c r="G112" s="149" t="s">
        <v>16</v>
      </c>
      <c r="H112" s="152"/>
      <c r="I112" s="152" t="s">
        <v>578</v>
      </c>
      <c r="J112" s="151"/>
      <c r="K112" s="240"/>
      <c r="L112" s="240"/>
      <c r="M112" s="240"/>
    </row>
    <row r="113" spans="1:13" s="124" customFormat="1" ht="21.95" customHeight="1" x14ac:dyDescent="0.25">
      <c r="A113" s="243" t="str">
        <f t="shared" si="38"/>
        <v>EM.0042</v>
      </c>
      <c r="B113" s="146" t="str">
        <f t="shared" si="39"/>
        <v>7.5</v>
      </c>
      <c r="C113" s="146">
        <f t="shared" si="39"/>
        <v>1500</v>
      </c>
      <c r="D113" s="147" t="s">
        <v>233</v>
      </c>
      <c r="E113" s="147" t="s">
        <v>234</v>
      </c>
      <c r="F113" s="148" t="s">
        <v>235</v>
      </c>
      <c r="G113" s="149" t="s">
        <v>236</v>
      </c>
      <c r="H113" s="152"/>
      <c r="I113" s="152" t="s">
        <v>578</v>
      </c>
      <c r="J113" s="151"/>
      <c r="K113" s="240"/>
      <c r="L113" s="240"/>
      <c r="M113" s="240"/>
    </row>
    <row r="114" spans="1:13" s="124" customFormat="1" ht="21.95" customHeight="1" x14ac:dyDescent="0.25">
      <c r="A114" s="243" t="s">
        <v>237</v>
      </c>
      <c r="B114" s="163">
        <v>3</v>
      </c>
      <c r="C114" s="146">
        <v>1500</v>
      </c>
      <c r="D114" s="148" t="s">
        <v>83</v>
      </c>
      <c r="E114" s="148" t="s">
        <v>81</v>
      </c>
      <c r="F114" s="147" t="s">
        <v>82</v>
      </c>
      <c r="G114" s="149" t="s">
        <v>42</v>
      </c>
      <c r="H114" s="149"/>
      <c r="I114" s="149" t="s">
        <v>238</v>
      </c>
      <c r="J114" s="151"/>
      <c r="K114" s="240"/>
      <c r="L114" s="240"/>
      <c r="M114" s="240"/>
    </row>
    <row r="115" spans="1:13" s="124" customFormat="1" ht="21.95" customHeight="1" x14ac:dyDescent="0.25">
      <c r="A115" s="243" t="str">
        <f t="shared" ref="A115:A117" si="40">A114</f>
        <v>EM.0043</v>
      </c>
      <c r="B115" s="163">
        <f t="shared" ref="B115:C117" si="41">B114</f>
        <v>3</v>
      </c>
      <c r="C115" s="146">
        <f t="shared" si="41"/>
        <v>1500</v>
      </c>
      <c r="D115" s="148" t="s">
        <v>194</v>
      </c>
      <c r="E115" s="148" t="s">
        <v>83</v>
      </c>
      <c r="F115" s="148" t="s">
        <v>83</v>
      </c>
      <c r="G115" s="164" t="s">
        <v>83</v>
      </c>
      <c r="H115" s="149"/>
      <c r="I115" s="149" t="s">
        <v>238</v>
      </c>
      <c r="J115" s="151"/>
      <c r="K115" s="240"/>
      <c r="L115" s="240"/>
      <c r="M115" s="240"/>
    </row>
    <row r="116" spans="1:13" s="124" customFormat="1" ht="21.95" customHeight="1" x14ac:dyDescent="0.25">
      <c r="A116" s="243" t="str">
        <f t="shared" si="40"/>
        <v>EM.0043</v>
      </c>
      <c r="B116" s="163">
        <f t="shared" si="41"/>
        <v>3</v>
      </c>
      <c r="C116" s="146">
        <f t="shared" si="41"/>
        <v>1500</v>
      </c>
      <c r="D116" s="148">
        <v>45341</v>
      </c>
      <c r="E116" s="148">
        <v>45342</v>
      </c>
      <c r="F116" s="148">
        <v>45365</v>
      </c>
      <c r="G116" s="149" t="s">
        <v>58</v>
      </c>
      <c r="H116" s="149"/>
      <c r="I116" s="208" t="s">
        <v>238</v>
      </c>
      <c r="J116" s="151"/>
      <c r="K116" s="240"/>
      <c r="L116" s="240"/>
      <c r="M116" s="240"/>
    </row>
    <row r="117" spans="1:13" s="124" customFormat="1" ht="21.95" customHeight="1" x14ac:dyDescent="0.25">
      <c r="A117" s="243" t="str">
        <f t="shared" si="40"/>
        <v>EM.0043</v>
      </c>
      <c r="B117" s="163">
        <f t="shared" si="41"/>
        <v>3</v>
      </c>
      <c r="C117" s="146">
        <f t="shared" si="41"/>
        <v>1500</v>
      </c>
      <c r="D117" s="148"/>
      <c r="E117" s="148">
        <v>45674</v>
      </c>
      <c r="F117" s="148">
        <v>45708</v>
      </c>
      <c r="G117" s="149" t="s">
        <v>58</v>
      </c>
      <c r="H117" s="149"/>
      <c r="I117" s="210" t="s">
        <v>678</v>
      </c>
      <c r="J117" s="151"/>
      <c r="K117" s="240"/>
      <c r="L117" s="240"/>
      <c r="M117" s="240"/>
    </row>
    <row r="118" spans="1:13" s="124" customFormat="1" ht="21.95" customHeight="1" x14ac:dyDescent="0.25">
      <c r="A118" s="242" t="s">
        <v>239</v>
      </c>
      <c r="B118" s="136">
        <v>4</v>
      </c>
      <c r="C118" s="136">
        <v>1500</v>
      </c>
      <c r="D118" s="138" t="s">
        <v>83</v>
      </c>
      <c r="E118" s="138" t="s">
        <v>81</v>
      </c>
      <c r="F118" s="137" t="s">
        <v>82</v>
      </c>
      <c r="G118" s="139" t="s">
        <v>42</v>
      </c>
      <c r="H118" s="139"/>
      <c r="I118" s="209"/>
      <c r="J118" s="140"/>
      <c r="K118" s="240"/>
      <c r="L118" s="240"/>
      <c r="M118" s="240"/>
    </row>
    <row r="119" spans="1:13" s="124" customFormat="1" ht="21.95" customHeight="1" x14ac:dyDescent="0.25">
      <c r="A119" s="242" t="s">
        <v>240</v>
      </c>
      <c r="B119" s="136">
        <v>45</v>
      </c>
      <c r="C119" s="136">
        <v>1500</v>
      </c>
      <c r="D119" s="138" t="s">
        <v>199</v>
      </c>
      <c r="E119" s="138" t="s">
        <v>64</v>
      </c>
      <c r="F119" s="138" t="s">
        <v>65</v>
      </c>
      <c r="G119" s="139" t="s">
        <v>66</v>
      </c>
      <c r="H119" s="139"/>
      <c r="I119" s="139"/>
      <c r="J119" s="140"/>
      <c r="K119" s="240"/>
      <c r="L119" s="240"/>
      <c r="M119" s="240"/>
    </row>
    <row r="120" spans="1:13" s="124" customFormat="1" ht="21.95" customHeight="1" x14ac:dyDescent="0.25">
      <c r="A120" s="242" t="s">
        <v>241</v>
      </c>
      <c r="B120" s="136" t="s">
        <v>144</v>
      </c>
      <c r="C120" s="136">
        <v>1500</v>
      </c>
      <c r="D120" s="138" t="s">
        <v>81</v>
      </c>
      <c r="E120" s="138" t="s">
        <v>15</v>
      </c>
      <c r="F120" s="138" t="s">
        <v>242</v>
      </c>
      <c r="G120" s="139" t="s">
        <v>16</v>
      </c>
      <c r="H120" s="139"/>
      <c r="I120" s="139"/>
      <c r="J120" s="140"/>
      <c r="K120" s="240"/>
      <c r="L120" s="240"/>
      <c r="M120" s="240"/>
    </row>
    <row r="121" spans="1:13" s="124" customFormat="1" ht="21.95" customHeight="1" x14ac:dyDescent="0.25">
      <c r="A121" s="242" t="s">
        <v>243</v>
      </c>
      <c r="B121" s="136" t="s">
        <v>144</v>
      </c>
      <c r="C121" s="136">
        <v>1500</v>
      </c>
      <c r="D121" s="138" t="s">
        <v>83</v>
      </c>
      <c r="E121" s="138" t="s">
        <v>15</v>
      </c>
      <c r="F121" s="138" t="s">
        <v>242</v>
      </c>
      <c r="G121" s="139" t="s">
        <v>16</v>
      </c>
      <c r="H121" s="138" t="s">
        <v>244</v>
      </c>
      <c r="I121" s="138"/>
      <c r="J121" s="140"/>
      <c r="K121" s="200"/>
      <c r="L121" s="240"/>
      <c r="M121" s="240"/>
    </row>
    <row r="122" spans="1:13" s="124" customFormat="1" ht="21.95" customHeight="1" x14ac:dyDescent="0.25">
      <c r="A122" s="242" t="str">
        <f>A121</f>
        <v>EM.0047</v>
      </c>
      <c r="B122" s="136" t="str">
        <f t="shared" ref="B122:C122" si="42">B121</f>
        <v>1.5</v>
      </c>
      <c r="C122" s="136">
        <f t="shared" si="42"/>
        <v>1500</v>
      </c>
      <c r="D122" s="138" t="s">
        <v>33</v>
      </c>
      <c r="E122" s="138" t="s">
        <v>34</v>
      </c>
      <c r="F122" s="138" t="s">
        <v>35</v>
      </c>
      <c r="G122" s="139" t="s">
        <v>58</v>
      </c>
      <c r="H122" s="138"/>
      <c r="I122" s="138"/>
      <c r="J122" s="140"/>
      <c r="K122" s="240"/>
      <c r="L122" s="240"/>
      <c r="M122" s="240"/>
    </row>
    <row r="123" spans="1:13" s="124" customFormat="1" ht="21.95" customHeight="1" x14ac:dyDescent="0.25">
      <c r="A123" s="242" t="s">
        <v>245</v>
      </c>
      <c r="B123" s="136" t="s">
        <v>115</v>
      </c>
      <c r="C123" s="136">
        <v>1500</v>
      </c>
      <c r="D123" s="137" t="s">
        <v>246</v>
      </c>
      <c r="E123" s="138" t="s">
        <v>64</v>
      </c>
      <c r="F123" s="138" t="s">
        <v>65</v>
      </c>
      <c r="G123" s="139" t="s">
        <v>66</v>
      </c>
      <c r="H123" s="139"/>
      <c r="I123" s="139"/>
      <c r="J123" s="140"/>
      <c r="K123" s="240"/>
      <c r="L123" s="240"/>
      <c r="M123" s="240"/>
    </row>
    <row r="124" spans="1:13" s="124" customFormat="1" ht="21.95" customHeight="1" x14ac:dyDescent="0.25">
      <c r="A124" s="243" t="s">
        <v>247</v>
      </c>
      <c r="B124" s="146" t="s">
        <v>115</v>
      </c>
      <c r="C124" s="146">
        <v>1500</v>
      </c>
      <c r="D124" s="148" t="s">
        <v>248</v>
      </c>
      <c r="E124" s="148" t="s">
        <v>64</v>
      </c>
      <c r="F124" s="148" t="s">
        <v>65</v>
      </c>
      <c r="G124" s="149" t="s">
        <v>66</v>
      </c>
      <c r="H124" s="152" t="s">
        <v>249</v>
      </c>
      <c r="I124" s="152" t="s">
        <v>579</v>
      </c>
      <c r="J124" s="150" t="s">
        <v>587</v>
      </c>
      <c r="K124" s="240"/>
      <c r="L124" s="240"/>
      <c r="M124" s="240"/>
    </row>
    <row r="125" spans="1:13" s="124" customFormat="1" ht="21.95" customHeight="1" x14ac:dyDescent="0.25">
      <c r="A125" s="243" t="str">
        <f t="shared" ref="A125:A127" si="43">A124</f>
        <v>EM.0049</v>
      </c>
      <c r="B125" s="146" t="str">
        <f t="shared" ref="B125:B127" si="44">B124</f>
        <v>2.2</v>
      </c>
      <c r="C125" s="146">
        <f t="shared" ref="C125:C127" si="45">C124</f>
        <v>1500</v>
      </c>
      <c r="D125" s="148" t="s">
        <v>249</v>
      </c>
      <c r="E125" s="148" t="s">
        <v>250</v>
      </c>
      <c r="F125" s="148" t="s">
        <v>251</v>
      </c>
      <c r="G125" s="149" t="s">
        <v>66</v>
      </c>
      <c r="H125" s="152" t="s">
        <v>252</v>
      </c>
      <c r="I125" s="152" t="s">
        <v>579</v>
      </c>
      <c r="J125" s="150" t="s">
        <v>253</v>
      </c>
      <c r="K125" s="240"/>
      <c r="L125" s="240"/>
      <c r="M125" s="240"/>
    </row>
    <row r="126" spans="1:13" s="124" customFormat="1" ht="21.95" customHeight="1" x14ac:dyDescent="0.25">
      <c r="A126" s="243" t="str">
        <f t="shared" si="43"/>
        <v>EM.0049</v>
      </c>
      <c r="B126" s="146" t="str">
        <f t="shared" si="44"/>
        <v>2.2</v>
      </c>
      <c r="C126" s="146">
        <f t="shared" si="45"/>
        <v>1500</v>
      </c>
      <c r="D126" s="148" t="s">
        <v>254</v>
      </c>
      <c r="E126" s="148" t="s">
        <v>121</v>
      </c>
      <c r="F126" s="147" t="s">
        <v>23</v>
      </c>
      <c r="G126" s="149" t="s">
        <v>42</v>
      </c>
      <c r="H126" s="152" t="s">
        <v>232</v>
      </c>
      <c r="I126" s="152" t="s">
        <v>579</v>
      </c>
      <c r="J126" s="151"/>
      <c r="K126" s="240"/>
      <c r="L126" s="240"/>
      <c r="M126" s="240"/>
    </row>
    <row r="127" spans="1:13" s="124" customFormat="1" ht="21.95" customHeight="1" x14ac:dyDescent="0.25">
      <c r="A127" s="243" t="str">
        <f t="shared" si="43"/>
        <v>EM.0049</v>
      </c>
      <c r="B127" s="146" t="str">
        <f t="shared" si="44"/>
        <v>2.2</v>
      </c>
      <c r="C127" s="146">
        <f t="shared" si="45"/>
        <v>1500</v>
      </c>
      <c r="D127" s="148" t="s">
        <v>255</v>
      </c>
      <c r="E127" s="148"/>
      <c r="F127" s="147" t="s">
        <v>142</v>
      </c>
      <c r="G127" s="149" t="s">
        <v>16</v>
      </c>
      <c r="H127" s="152"/>
      <c r="I127" s="152" t="s">
        <v>579</v>
      </c>
      <c r="J127" s="151"/>
      <c r="K127" s="240"/>
      <c r="L127" s="240"/>
      <c r="M127" s="240"/>
    </row>
    <row r="128" spans="1:13" s="124" customFormat="1" ht="21.95" customHeight="1" x14ac:dyDescent="0.25">
      <c r="A128" s="242" t="s">
        <v>256</v>
      </c>
      <c r="B128" s="176" t="s">
        <v>28</v>
      </c>
      <c r="C128" s="166"/>
      <c r="D128" s="138" t="s">
        <v>82</v>
      </c>
      <c r="E128" s="138" t="s">
        <v>64</v>
      </c>
      <c r="F128" s="138" t="s">
        <v>65</v>
      </c>
      <c r="G128" s="139" t="s">
        <v>66</v>
      </c>
      <c r="H128" s="139"/>
      <c r="I128" s="139"/>
      <c r="J128" s="140"/>
      <c r="K128" s="240"/>
      <c r="L128" s="240"/>
      <c r="M128" s="240"/>
    </row>
    <row r="129" spans="1:13" s="124" customFormat="1" ht="21.95" customHeight="1" x14ac:dyDescent="0.25">
      <c r="A129" s="243" t="s">
        <v>257</v>
      </c>
      <c r="B129" s="146" t="s">
        <v>258</v>
      </c>
      <c r="C129" s="146">
        <v>1500</v>
      </c>
      <c r="D129" s="148" t="s">
        <v>259</v>
      </c>
      <c r="E129" s="148" t="s">
        <v>64</v>
      </c>
      <c r="F129" s="148" t="s">
        <v>65</v>
      </c>
      <c r="G129" s="149" t="s">
        <v>66</v>
      </c>
      <c r="H129" s="152" t="s">
        <v>260</v>
      </c>
      <c r="I129" s="152"/>
      <c r="J129" s="150" t="s">
        <v>261</v>
      </c>
      <c r="K129" s="240"/>
      <c r="L129" s="240"/>
      <c r="M129" s="240"/>
    </row>
    <row r="130" spans="1:13" s="124" customFormat="1" ht="21.95" customHeight="1" x14ac:dyDescent="0.25">
      <c r="A130" s="243" t="str">
        <f t="shared" ref="A130:A131" si="46">A129</f>
        <v>EM.0051</v>
      </c>
      <c r="B130" s="146" t="str">
        <f t="shared" ref="B130:C131" si="47">B129</f>
        <v>3.7 / 3</v>
      </c>
      <c r="C130" s="146">
        <f t="shared" si="47"/>
        <v>1500</v>
      </c>
      <c r="D130" s="148" t="s">
        <v>262</v>
      </c>
      <c r="E130" s="148" t="s">
        <v>121</v>
      </c>
      <c r="F130" s="147" t="s">
        <v>122</v>
      </c>
      <c r="G130" s="149" t="s">
        <v>42</v>
      </c>
      <c r="H130" s="152"/>
      <c r="I130" s="152"/>
      <c r="J130" s="151"/>
      <c r="K130" s="240"/>
      <c r="L130" s="240"/>
      <c r="M130" s="240"/>
    </row>
    <row r="131" spans="1:13" s="124" customFormat="1" ht="21.95" customHeight="1" x14ac:dyDescent="0.25">
      <c r="A131" s="243" t="str">
        <f t="shared" si="46"/>
        <v>EM.0051</v>
      </c>
      <c r="B131" s="146" t="str">
        <f t="shared" si="47"/>
        <v>3.7 / 3</v>
      </c>
      <c r="C131" s="146">
        <f t="shared" si="47"/>
        <v>1500</v>
      </c>
      <c r="D131" s="148" t="s">
        <v>112</v>
      </c>
      <c r="E131" s="148"/>
      <c r="F131" s="147" t="s">
        <v>142</v>
      </c>
      <c r="G131" s="149" t="s">
        <v>16</v>
      </c>
      <c r="H131" s="152"/>
      <c r="I131" s="152"/>
      <c r="J131" s="151"/>
      <c r="K131" s="240"/>
      <c r="L131" s="240"/>
      <c r="M131" s="240"/>
    </row>
    <row r="132" spans="1:13" s="124" customFormat="1" ht="21.95" customHeight="1" x14ac:dyDescent="0.25">
      <c r="A132" s="243" t="s">
        <v>263</v>
      </c>
      <c r="B132" s="146">
        <v>4</v>
      </c>
      <c r="C132" s="146">
        <v>1500</v>
      </c>
      <c r="D132" s="148" t="s">
        <v>134</v>
      </c>
      <c r="E132" s="148" t="s">
        <v>64</v>
      </c>
      <c r="F132" s="148" t="s">
        <v>65</v>
      </c>
      <c r="G132" s="149" t="s">
        <v>66</v>
      </c>
      <c r="H132" s="152" t="s">
        <v>75</v>
      </c>
      <c r="I132" s="152"/>
      <c r="J132" s="151"/>
      <c r="K132" s="240"/>
      <c r="L132" s="240"/>
      <c r="M132" s="240"/>
    </row>
    <row r="133" spans="1:13" s="124" customFormat="1" ht="21.95" customHeight="1" x14ac:dyDescent="0.25">
      <c r="A133" s="242" t="str">
        <f>A132</f>
        <v>EM.0052</v>
      </c>
      <c r="B133" s="136">
        <f t="shared" ref="B133:C133" si="48">B132</f>
        <v>4</v>
      </c>
      <c r="C133" s="136">
        <f t="shared" si="48"/>
        <v>1500</v>
      </c>
      <c r="D133" s="167" t="s">
        <v>264</v>
      </c>
      <c r="E133" s="167" t="s">
        <v>153</v>
      </c>
      <c r="F133" s="244"/>
      <c r="G133" s="245" t="s">
        <v>16</v>
      </c>
      <c r="H133" s="168"/>
      <c r="I133" s="168"/>
      <c r="J133" s="169"/>
      <c r="K133" s="240"/>
      <c r="L133" s="240"/>
      <c r="M133" s="240"/>
    </row>
    <row r="134" spans="1:13" s="124" customFormat="1" ht="21.95" customHeight="1" x14ac:dyDescent="0.25">
      <c r="A134" s="242" t="s">
        <v>265</v>
      </c>
      <c r="B134" s="136">
        <v>4</v>
      </c>
      <c r="C134" s="136">
        <v>1500</v>
      </c>
      <c r="D134" s="170" t="s">
        <v>64</v>
      </c>
      <c r="E134" s="170" t="s">
        <v>266</v>
      </c>
      <c r="F134" s="170" t="s">
        <v>267</v>
      </c>
      <c r="G134" s="171" t="s">
        <v>16</v>
      </c>
      <c r="H134" s="171"/>
      <c r="I134" s="171"/>
      <c r="J134" s="172"/>
      <c r="K134" s="240"/>
      <c r="L134" s="240"/>
      <c r="M134" s="240"/>
    </row>
    <row r="135" spans="1:13" s="124" customFormat="1" ht="21.95" customHeight="1" x14ac:dyDescent="0.25">
      <c r="A135" s="242" t="s">
        <v>265</v>
      </c>
      <c r="B135" s="136" t="s">
        <v>60</v>
      </c>
      <c r="C135" s="136">
        <v>1500</v>
      </c>
      <c r="D135" s="170">
        <v>45313</v>
      </c>
      <c r="E135" s="170">
        <v>45321</v>
      </c>
      <c r="F135" s="170">
        <v>45342</v>
      </c>
      <c r="G135" s="139" t="s">
        <v>58</v>
      </c>
      <c r="H135" s="171"/>
      <c r="I135" s="171" t="s">
        <v>268</v>
      </c>
      <c r="J135" s="172"/>
      <c r="K135" s="240"/>
      <c r="L135" s="240"/>
      <c r="M135" s="240"/>
    </row>
    <row r="136" spans="1:13" s="124" customFormat="1" ht="21.95" customHeight="1" x14ac:dyDescent="0.25">
      <c r="A136" s="242" t="s">
        <v>269</v>
      </c>
      <c r="B136" s="136" t="s">
        <v>115</v>
      </c>
      <c r="C136" s="136">
        <v>1500</v>
      </c>
      <c r="D136" s="173" t="s">
        <v>270</v>
      </c>
      <c r="E136" s="170" t="s">
        <v>266</v>
      </c>
      <c r="F136" s="170" t="s">
        <v>267</v>
      </c>
      <c r="G136" s="171" t="s">
        <v>16</v>
      </c>
      <c r="H136" s="171"/>
      <c r="I136" s="171"/>
      <c r="J136" s="172"/>
      <c r="K136" s="240"/>
      <c r="L136" s="240"/>
      <c r="M136" s="240"/>
    </row>
    <row r="137" spans="1:13" s="124" customFormat="1" ht="21.95" customHeight="1" x14ac:dyDescent="0.25">
      <c r="A137" s="243" t="s">
        <v>271</v>
      </c>
      <c r="B137" s="162">
        <v>75</v>
      </c>
      <c r="C137" s="146">
        <v>1500</v>
      </c>
      <c r="D137" s="148" t="s">
        <v>272</v>
      </c>
      <c r="E137" s="147" t="s">
        <v>266</v>
      </c>
      <c r="F137" s="147" t="s">
        <v>267</v>
      </c>
      <c r="G137" s="149" t="s">
        <v>16</v>
      </c>
      <c r="H137" s="152" t="s">
        <v>73</v>
      </c>
      <c r="I137" s="152" t="s">
        <v>642</v>
      </c>
      <c r="J137" s="151" t="s">
        <v>273</v>
      </c>
      <c r="K137" s="240"/>
      <c r="L137" s="240"/>
      <c r="M137" s="240"/>
    </row>
    <row r="138" spans="1:13" s="124" customFormat="1" ht="21.95" customHeight="1" x14ac:dyDescent="0.25">
      <c r="A138" s="243" t="str">
        <f t="shared" ref="A138:C139" si="49">A137</f>
        <v>EM.0055</v>
      </c>
      <c r="B138" s="162">
        <f t="shared" si="49"/>
        <v>75</v>
      </c>
      <c r="C138" s="146">
        <f t="shared" si="49"/>
        <v>1500</v>
      </c>
      <c r="D138" s="148" t="s">
        <v>274</v>
      </c>
      <c r="E138" s="147" t="s">
        <v>275</v>
      </c>
      <c r="F138" s="147"/>
      <c r="G138" s="149" t="s">
        <v>51</v>
      </c>
      <c r="H138" s="152"/>
      <c r="I138" s="152" t="s">
        <v>642</v>
      </c>
      <c r="J138" s="151"/>
      <c r="K138" s="240"/>
      <c r="L138" s="240"/>
      <c r="M138" s="240"/>
    </row>
    <row r="139" spans="1:13" s="124" customFormat="1" ht="21.95" customHeight="1" x14ac:dyDescent="0.25">
      <c r="A139" s="243" t="str">
        <f t="shared" si="49"/>
        <v>EM.0055</v>
      </c>
      <c r="B139" s="162">
        <f t="shared" si="49"/>
        <v>75</v>
      </c>
      <c r="C139" s="146">
        <f t="shared" si="49"/>
        <v>1500</v>
      </c>
      <c r="D139" s="148">
        <v>45495</v>
      </c>
      <c r="E139" s="148">
        <v>45495</v>
      </c>
      <c r="F139" s="147">
        <v>45532</v>
      </c>
      <c r="G139" s="149" t="s">
        <v>58</v>
      </c>
      <c r="H139" s="152"/>
      <c r="I139" s="152" t="s">
        <v>642</v>
      </c>
      <c r="J139" s="151"/>
      <c r="K139" s="240"/>
      <c r="L139" s="240"/>
      <c r="M139" s="240"/>
    </row>
    <row r="140" spans="1:13" s="124" customFormat="1" ht="21.95" customHeight="1" x14ac:dyDescent="0.25">
      <c r="A140" s="242" t="s">
        <v>276</v>
      </c>
      <c r="B140" s="143" t="s">
        <v>25</v>
      </c>
      <c r="C140" s="144"/>
      <c r="D140" s="173" t="s">
        <v>26</v>
      </c>
      <c r="E140" s="170" t="s">
        <v>266</v>
      </c>
      <c r="F140" s="170" t="s">
        <v>267</v>
      </c>
      <c r="G140" s="171" t="s">
        <v>16</v>
      </c>
      <c r="H140" s="171"/>
      <c r="I140" s="171"/>
      <c r="J140" s="172"/>
      <c r="K140" s="240"/>
      <c r="L140" s="240"/>
      <c r="M140" s="240"/>
    </row>
    <row r="141" spans="1:13" s="124" customFormat="1" ht="21.95" customHeight="1" x14ac:dyDescent="0.25">
      <c r="A141" s="243" t="s">
        <v>277</v>
      </c>
      <c r="B141" s="146">
        <v>11</v>
      </c>
      <c r="C141" s="146">
        <v>3000</v>
      </c>
      <c r="D141" s="148" t="s">
        <v>26</v>
      </c>
      <c r="E141" s="147" t="s">
        <v>266</v>
      </c>
      <c r="F141" s="147" t="s">
        <v>278</v>
      </c>
      <c r="G141" s="149" t="s">
        <v>16</v>
      </c>
      <c r="H141" s="149" t="s">
        <v>267</v>
      </c>
      <c r="I141" s="149" t="s">
        <v>580</v>
      </c>
      <c r="J141" s="151"/>
      <c r="K141" s="240"/>
      <c r="L141" s="240"/>
      <c r="M141" s="240"/>
    </row>
    <row r="142" spans="1:13" s="124" customFormat="1" ht="21.95" customHeight="1" x14ac:dyDescent="0.25">
      <c r="A142" s="243" t="str">
        <f t="shared" ref="A142:A143" si="50">A141</f>
        <v>EM.0057</v>
      </c>
      <c r="B142" s="146">
        <f t="shared" ref="B142:C143" si="51">B141</f>
        <v>11</v>
      </c>
      <c r="C142" s="146">
        <f t="shared" si="51"/>
        <v>3000</v>
      </c>
      <c r="D142" s="148" t="s">
        <v>112</v>
      </c>
      <c r="E142" s="147"/>
      <c r="F142" s="147" t="s">
        <v>142</v>
      </c>
      <c r="G142" s="149" t="s">
        <v>16</v>
      </c>
      <c r="H142" s="149"/>
      <c r="I142" s="149" t="s">
        <v>580</v>
      </c>
      <c r="J142" s="151"/>
      <c r="K142" s="240"/>
      <c r="L142" s="240"/>
      <c r="M142" s="240"/>
    </row>
    <row r="143" spans="1:13" s="124" customFormat="1" ht="21.95" customHeight="1" x14ac:dyDescent="0.25">
      <c r="A143" s="243" t="str">
        <f t="shared" si="50"/>
        <v>EM.0057</v>
      </c>
      <c r="B143" s="146">
        <f t="shared" si="51"/>
        <v>11</v>
      </c>
      <c r="C143" s="146">
        <f t="shared" si="51"/>
        <v>3000</v>
      </c>
      <c r="D143" s="148" t="s">
        <v>274</v>
      </c>
      <c r="E143" s="147" t="s">
        <v>275</v>
      </c>
      <c r="F143" s="147">
        <v>45156</v>
      </c>
      <c r="G143" s="149" t="s">
        <v>58</v>
      </c>
      <c r="H143" s="149"/>
      <c r="I143" s="149" t="s">
        <v>580</v>
      </c>
      <c r="J143" s="151"/>
      <c r="K143" s="240"/>
      <c r="L143" s="240"/>
      <c r="M143" s="240"/>
    </row>
    <row r="144" spans="1:13" s="124" customFormat="1" ht="21.95" customHeight="1" x14ac:dyDescent="0.25">
      <c r="A144" s="242" t="s">
        <v>279</v>
      </c>
      <c r="B144" s="136" t="s">
        <v>30</v>
      </c>
      <c r="C144" s="136">
        <v>3000</v>
      </c>
      <c r="D144" s="173" t="s">
        <v>280</v>
      </c>
      <c r="E144" s="173" t="s">
        <v>71</v>
      </c>
      <c r="F144" s="173" t="s">
        <v>72</v>
      </c>
      <c r="G144" s="139" t="s">
        <v>58</v>
      </c>
      <c r="H144" s="171"/>
      <c r="I144" s="171"/>
      <c r="J144" s="172"/>
      <c r="K144" s="240"/>
      <c r="L144" s="240"/>
      <c r="M144" s="240"/>
    </row>
    <row r="145" spans="1:13" s="124" customFormat="1" ht="21.95" customHeight="1" x14ac:dyDescent="0.25">
      <c r="A145" s="242" t="s">
        <v>281</v>
      </c>
      <c r="B145" s="143" t="s">
        <v>228</v>
      </c>
      <c r="C145" s="144"/>
      <c r="D145" s="173" t="s">
        <v>72</v>
      </c>
      <c r="E145" s="173" t="s">
        <v>73</v>
      </c>
      <c r="F145" s="170" t="s">
        <v>282</v>
      </c>
      <c r="G145" s="139" t="s">
        <v>58</v>
      </c>
      <c r="H145" s="171"/>
      <c r="I145" s="171"/>
      <c r="J145" s="172"/>
      <c r="K145" s="240"/>
      <c r="L145" s="240"/>
      <c r="M145" s="240"/>
    </row>
    <row r="146" spans="1:13" s="124" customFormat="1" ht="21.95" customHeight="1" x14ac:dyDescent="0.25">
      <c r="A146" s="243" t="s">
        <v>283</v>
      </c>
      <c r="B146" s="162">
        <v>75</v>
      </c>
      <c r="C146" s="159">
        <v>1500</v>
      </c>
      <c r="D146" s="148" t="s">
        <v>72</v>
      </c>
      <c r="E146" s="148" t="s">
        <v>73</v>
      </c>
      <c r="F146" s="147" t="s">
        <v>282</v>
      </c>
      <c r="G146" s="149" t="s">
        <v>58</v>
      </c>
      <c r="H146" s="149"/>
      <c r="I146" s="149" t="s">
        <v>581</v>
      </c>
      <c r="J146" s="151" t="s">
        <v>284</v>
      </c>
      <c r="K146" s="240"/>
      <c r="L146" s="240"/>
      <c r="M146" s="240"/>
    </row>
    <row r="147" spans="1:13" s="124" customFormat="1" ht="21.95" customHeight="1" x14ac:dyDescent="0.25">
      <c r="A147" s="243" t="s">
        <v>283</v>
      </c>
      <c r="B147" s="162">
        <v>75</v>
      </c>
      <c r="C147" s="159">
        <v>1500</v>
      </c>
      <c r="D147" s="148" t="s">
        <v>55</v>
      </c>
      <c r="E147" s="148">
        <v>45177</v>
      </c>
      <c r="F147" s="147" t="s">
        <v>57</v>
      </c>
      <c r="G147" s="149" t="s">
        <v>58</v>
      </c>
      <c r="H147" s="149"/>
      <c r="I147" s="149" t="s">
        <v>581</v>
      </c>
      <c r="J147" s="151"/>
      <c r="K147" s="240"/>
      <c r="L147" s="240"/>
      <c r="M147" s="240"/>
    </row>
    <row r="148" spans="1:13" s="124" customFormat="1" ht="21.95" customHeight="1" x14ac:dyDescent="0.25">
      <c r="A148" s="243" t="str">
        <f t="shared" ref="A148:C149" si="52">A146</f>
        <v>EM.0060</v>
      </c>
      <c r="B148" s="162">
        <f t="shared" si="52"/>
        <v>75</v>
      </c>
      <c r="C148" s="159">
        <f t="shared" si="52"/>
        <v>1500</v>
      </c>
      <c r="D148" s="148">
        <v>45349</v>
      </c>
      <c r="E148" s="148">
        <v>45365</v>
      </c>
      <c r="F148" s="148">
        <v>45399</v>
      </c>
      <c r="G148" s="149" t="s">
        <v>58</v>
      </c>
      <c r="H148" s="149"/>
      <c r="I148" s="149" t="s">
        <v>581</v>
      </c>
      <c r="J148" s="151"/>
      <c r="K148" s="240"/>
      <c r="L148" s="240"/>
      <c r="M148" s="240"/>
    </row>
    <row r="149" spans="1:13" s="124" customFormat="1" ht="21.95" customHeight="1" x14ac:dyDescent="0.25">
      <c r="A149" s="243" t="str">
        <f t="shared" si="52"/>
        <v>EM.0060</v>
      </c>
      <c r="B149" s="162">
        <f t="shared" si="52"/>
        <v>75</v>
      </c>
      <c r="C149" s="159">
        <f t="shared" si="52"/>
        <v>1500</v>
      </c>
      <c r="D149" s="148">
        <v>45588</v>
      </c>
      <c r="E149" s="148">
        <v>45588</v>
      </c>
      <c r="F149" s="148">
        <v>45614</v>
      </c>
      <c r="G149" s="149" t="s">
        <v>58</v>
      </c>
      <c r="H149" s="149"/>
      <c r="I149" s="149" t="s">
        <v>665</v>
      </c>
      <c r="J149" s="151"/>
      <c r="K149" s="240"/>
      <c r="L149" s="240"/>
      <c r="M149" s="240"/>
    </row>
    <row r="150" spans="1:13" s="124" customFormat="1" ht="21.95" customHeight="1" x14ac:dyDescent="0.25">
      <c r="A150" s="242" t="s">
        <v>285</v>
      </c>
      <c r="B150" s="176" t="s">
        <v>286</v>
      </c>
      <c r="C150" s="160"/>
      <c r="D150" s="173" t="s">
        <v>72</v>
      </c>
      <c r="E150" s="170" t="s">
        <v>49</v>
      </c>
      <c r="F150" s="170" t="s">
        <v>50</v>
      </c>
      <c r="G150" s="139" t="s">
        <v>58</v>
      </c>
      <c r="H150" s="171"/>
      <c r="I150" s="171"/>
      <c r="J150" s="172"/>
      <c r="K150" s="240"/>
      <c r="L150" s="240"/>
      <c r="M150" s="240"/>
    </row>
    <row r="151" spans="1:13" s="124" customFormat="1" ht="21.95" customHeight="1" x14ac:dyDescent="0.25">
      <c r="A151" s="242" t="s">
        <v>287</v>
      </c>
      <c r="B151" s="176" t="s">
        <v>288</v>
      </c>
      <c r="C151" s="177"/>
      <c r="D151" s="173" t="s">
        <v>72</v>
      </c>
      <c r="E151" s="170" t="s">
        <v>49</v>
      </c>
      <c r="F151" s="178" t="s">
        <v>289</v>
      </c>
      <c r="G151" s="171" t="s">
        <v>58</v>
      </c>
      <c r="H151" s="171"/>
      <c r="I151" s="171"/>
      <c r="J151" s="172"/>
      <c r="K151" s="240"/>
      <c r="L151" s="240"/>
      <c r="M151" s="240"/>
    </row>
    <row r="152" spans="1:13" s="124" customFormat="1" ht="21.95" customHeight="1" x14ac:dyDescent="0.25">
      <c r="A152" s="242" t="s">
        <v>290</v>
      </c>
      <c r="B152" s="143" t="s">
        <v>25</v>
      </c>
      <c r="C152" s="144"/>
      <c r="D152" s="173" t="s">
        <v>291</v>
      </c>
      <c r="E152" s="170" t="s">
        <v>49</v>
      </c>
      <c r="F152" s="178" t="s">
        <v>292</v>
      </c>
      <c r="G152" s="171" t="s">
        <v>66</v>
      </c>
      <c r="H152" s="171"/>
      <c r="I152" s="171"/>
      <c r="J152" s="179" t="s">
        <v>293</v>
      </c>
      <c r="K152" s="240"/>
      <c r="L152" s="240"/>
      <c r="M152" s="240"/>
    </row>
    <row r="153" spans="1:13" s="124" customFormat="1" ht="21.95" customHeight="1" x14ac:dyDescent="0.25">
      <c r="A153" s="243" t="s">
        <v>294</v>
      </c>
      <c r="B153" s="146" t="s">
        <v>115</v>
      </c>
      <c r="C153" s="146">
        <v>1500</v>
      </c>
      <c r="D153" s="148" t="s">
        <v>249</v>
      </c>
      <c r="E153" s="147" t="s">
        <v>49</v>
      </c>
      <c r="F153" s="246" t="s">
        <v>295</v>
      </c>
      <c r="G153" s="149" t="s">
        <v>66</v>
      </c>
      <c r="H153" s="149" t="s">
        <v>207</v>
      </c>
      <c r="I153" s="149" t="s">
        <v>556</v>
      </c>
      <c r="J153" s="151"/>
      <c r="K153" s="240"/>
      <c r="L153" s="240"/>
      <c r="M153" s="240"/>
    </row>
    <row r="154" spans="1:13" s="124" customFormat="1" ht="21.95" customHeight="1" x14ac:dyDescent="0.25">
      <c r="A154" s="243" t="str">
        <f t="shared" ref="A154" si="53">A153</f>
        <v>EM.0064</v>
      </c>
      <c r="B154" s="146" t="str">
        <f t="shared" ref="B154:C154" si="54">B153</f>
        <v>2.2</v>
      </c>
      <c r="C154" s="146">
        <f t="shared" si="54"/>
        <v>1500</v>
      </c>
      <c r="D154" s="148" t="s">
        <v>264</v>
      </c>
      <c r="E154" s="148" t="s">
        <v>153</v>
      </c>
      <c r="F154" s="246"/>
      <c r="G154" s="149" t="s">
        <v>16</v>
      </c>
      <c r="H154" s="149"/>
      <c r="I154" s="149" t="s">
        <v>556</v>
      </c>
      <c r="J154" s="151"/>
      <c r="K154" s="240"/>
      <c r="L154" s="240"/>
      <c r="M154" s="240"/>
    </row>
    <row r="155" spans="1:13" s="124" customFormat="1" ht="21.95" customHeight="1" x14ac:dyDescent="0.25">
      <c r="A155" s="243" t="s">
        <v>294</v>
      </c>
      <c r="B155" s="146" t="s">
        <v>115</v>
      </c>
      <c r="C155" s="146">
        <v>1500</v>
      </c>
      <c r="D155" s="148" t="s">
        <v>296</v>
      </c>
      <c r="E155" s="148" t="s">
        <v>111</v>
      </c>
      <c r="F155" s="246" t="s">
        <v>213</v>
      </c>
      <c r="G155" s="149" t="s">
        <v>16</v>
      </c>
      <c r="H155" s="149"/>
      <c r="I155" s="149" t="s">
        <v>556</v>
      </c>
      <c r="J155" s="151"/>
      <c r="K155" s="240"/>
      <c r="L155" s="240"/>
      <c r="M155" s="240"/>
    </row>
    <row r="156" spans="1:13" s="124" customFormat="1" ht="21.95" customHeight="1" x14ac:dyDescent="0.25">
      <c r="A156" s="243" t="str">
        <f>A154</f>
        <v>EM.0064</v>
      </c>
      <c r="B156" s="146" t="str">
        <f>B154</f>
        <v>2.2</v>
      </c>
      <c r="C156" s="146">
        <f>C154</f>
        <v>1500</v>
      </c>
      <c r="D156" s="148">
        <v>45399</v>
      </c>
      <c r="E156" s="148">
        <v>45399</v>
      </c>
      <c r="F156" s="246">
        <v>45422</v>
      </c>
      <c r="G156" s="149" t="s">
        <v>16</v>
      </c>
      <c r="H156" s="149"/>
      <c r="I156" s="149" t="s">
        <v>556</v>
      </c>
      <c r="J156" s="151"/>
      <c r="K156" s="240"/>
      <c r="L156" s="240"/>
      <c r="M156" s="240"/>
    </row>
    <row r="157" spans="1:13" s="124" customFormat="1" ht="21.95" customHeight="1" x14ac:dyDescent="0.25">
      <c r="A157" s="242" t="s">
        <v>297</v>
      </c>
      <c r="B157" s="136" t="s">
        <v>298</v>
      </c>
      <c r="C157" s="136">
        <v>3000</v>
      </c>
      <c r="D157" s="137" t="s">
        <v>299</v>
      </c>
      <c r="E157" s="138" t="s">
        <v>139</v>
      </c>
      <c r="F157" s="138" t="s">
        <v>108</v>
      </c>
      <c r="G157" s="139" t="s">
        <v>16</v>
      </c>
      <c r="H157" s="139"/>
      <c r="I157" s="139"/>
      <c r="J157" s="140"/>
      <c r="K157" s="240"/>
      <c r="L157" s="240"/>
      <c r="M157" s="240"/>
    </row>
    <row r="158" spans="1:13" s="124" customFormat="1" ht="21.95" customHeight="1" x14ac:dyDescent="0.25">
      <c r="A158" s="242" t="s">
        <v>294</v>
      </c>
      <c r="B158" s="136">
        <v>75</v>
      </c>
      <c r="C158" s="136">
        <v>1500</v>
      </c>
      <c r="E158" s="138">
        <v>45799</v>
      </c>
      <c r="F158" s="138">
        <v>45800</v>
      </c>
      <c r="G158" s="139" t="s">
        <v>58</v>
      </c>
      <c r="H158" s="139"/>
      <c r="I158" s="238" t="s">
        <v>865</v>
      </c>
      <c r="J158" s="140"/>
      <c r="K158" s="240"/>
      <c r="L158" s="240"/>
      <c r="M158" s="240"/>
    </row>
    <row r="159" spans="1:13" s="124" customFormat="1" ht="21.95" customHeight="1" x14ac:dyDescent="0.25">
      <c r="A159" s="242" t="s">
        <v>297</v>
      </c>
      <c r="B159" s="136">
        <v>75</v>
      </c>
      <c r="C159" s="136">
        <v>1500</v>
      </c>
      <c r="D159" s="137">
        <v>45726</v>
      </c>
      <c r="E159" s="138"/>
      <c r="F159" s="138"/>
      <c r="G159" s="139"/>
      <c r="H159" s="139"/>
      <c r="I159" s="139"/>
      <c r="J159" s="140"/>
      <c r="K159" s="240"/>
      <c r="L159" s="240"/>
      <c r="M159" s="240"/>
    </row>
    <row r="160" spans="1:13" s="124" customFormat="1" ht="21.95" customHeight="1" x14ac:dyDescent="0.25">
      <c r="A160" s="242" t="str">
        <f>A157</f>
        <v>EM.0065</v>
      </c>
      <c r="B160" s="136" t="str">
        <f>B157</f>
        <v>1.1</v>
      </c>
      <c r="C160" s="136">
        <f>C157</f>
        <v>3000</v>
      </c>
      <c r="D160" s="170" t="s">
        <v>300</v>
      </c>
      <c r="E160" s="170" t="s">
        <v>301</v>
      </c>
      <c r="F160" s="173"/>
      <c r="G160" s="171" t="s">
        <v>16</v>
      </c>
      <c r="H160" s="171"/>
      <c r="I160" s="171"/>
      <c r="J160" s="172"/>
      <c r="K160" s="240"/>
      <c r="L160" s="240"/>
      <c r="M160" s="240"/>
    </row>
    <row r="161" spans="1:13" s="124" customFormat="1" ht="21.95" customHeight="1" x14ac:dyDescent="0.25">
      <c r="A161" s="242" t="s">
        <v>302</v>
      </c>
      <c r="B161" s="136">
        <v>4</v>
      </c>
      <c r="C161" s="136">
        <v>1500</v>
      </c>
      <c r="D161" s="170" t="s">
        <v>138</v>
      </c>
      <c r="E161" s="173" t="s">
        <v>139</v>
      </c>
      <c r="F161" s="173" t="s">
        <v>108</v>
      </c>
      <c r="G161" s="171" t="s">
        <v>16</v>
      </c>
      <c r="H161" s="171"/>
      <c r="I161" s="171"/>
      <c r="J161" s="172"/>
      <c r="K161" s="240"/>
      <c r="L161" s="240"/>
      <c r="M161" s="240"/>
    </row>
    <row r="162" spans="1:13" s="124" customFormat="1" ht="21.95" customHeight="1" x14ac:dyDescent="0.25">
      <c r="A162" s="243" t="s">
        <v>303</v>
      </c>
      <c r="B162" s="146" t="s">
        <v>60</v>
      </c>
      <c r="C162" s="146">
        <v>1500</v>
      </c>
      <c r="D162" s="147" t="s">
        <v>299</v>
      </c>
      <c r="E162" s="148" t="s">
        <v>139</v>
      </c>
      <c r="F162" s="148" t="s">
        <v>108</v>
      </c>
      <c r="G162" s="149" t="s">
        <v>16</v>
      </c>
      <c r="H162" s="149"/>
      <c r="I162" s="149"/>
      <c r="J162" s="151"/>
      <c r="K162" s="240"/>
      <c r="L162" s="240"/>
      <c r="M162" s="240"/>
    </row>
    <row r="163" spans="1:13" s="124" customFormat="1" ht="21.95" customHeight="1" x14ac:dyDescent="0.25">
      <c r="A163" s="243" t="s">
        <v>303</v>
      </c>
      <c r="B163" s="146" t="s">
        <v>30</v>
      </c>
      <c r="C163" s="146">
        <v>1500</v>
      </c>
      <c r="D163" s="147">
        <v>45283</v>
      </c>
      <c r="E163" s="147">
        <v>45651</v>
      </c>
      <c r="F163" s="148">
        <v>45314</v>
      </c>
      <c r="G163" s="149" t="s">
        <v>58</v>
      </c>
      <c r="H163" s="149"/>
      <c r="I163" s="149" t="s">
        <v>304</v>
      </c>
      <c r="J163" s="151"/>
      <c r="K163" s="240"/>
      <c r="L163" s="240"/>
      <c r="M163" s="240"/>
    </row>
    <row r="164" spans="1:13" s="124" customFormat="1" ht="21.95" customHeight="1" x14ac:dyDescent="0.25">
      <c r="A164" s="243" t="s">
        <v>303</v>
      </c>
      <c r="B164" s="146" t="s">
        <v>30</v>
      </c>
      <c r="C164" s="146">
        <v>1500</v>
      </c>
      <c r="D164" s="147">
        <v>45588</v>
      </c>
      <c r="E164" s="147">
        <v>45588</v>
      </c>
      <c r="F164" s="148">
        <v>45614</v>
      </c>
      <c r="G164" s="149" t="s">
        <v>58</v>
      </c>
      <c r="H164" s="149"/>
      <c r="I164" s="149" t="s">
        <v>659</v>
      </c>
      <c r="J164" s="151"/>
      <c r="K164" s="240"/>
      <c r="L164" s="240"/>
      <c r="M164" s="240"/>
    </row>
    <row r="165" spans="1:13" s="124" customFormat="1" ht="21.95" customHeight="1" x14ac:dyDescent="0.25">
      <c r="A165" s="243" t="s">
        <v>303</v>
      </c>
      <c r="B165" s="146" t="s">
        <v>60</v>
      </c>
      <c r="C165" s="146">
        <v>1500</v>
      </c>
      <c r="D165" s="147"/>
      <c r="E165" s="147">
        <v>45674</v>
      </c>
      <c r="F165" s="148">
        <v>45708</v>
      </c>
      <c r="G165" s="149" t="s">
        <v>58</v>
      </c>
      <c r="H165" s="149"/>
      <c r="I165" s="149" t="s">
        <v>671</v>
      </c>
      <c r="J165" s="151"/>
      <c r="K165" s="240"/>
      <c r="L165" s="240"/>
      <c r="M165" s="240"/>
    </row>
    <row r="166" spans="1:13" s="124" customFormat="1" ht="21.95" customHeight="1" x14ac:dyDescent="0.25">
      <c r="A166" s="242" t="s">
        <v>305</v>
      </c>
      <c r="B166" s="136" t="s">
        <v>60</v>
      </c>
      <c r="C166" s="136">
        <v>1500</v>
      </c>
      <c r="D166" s="170" t="s">
        <v>306</v>
      </c>
      <c r="E166" s="170" t="s">
        <v>307</v>
      </c>
      <c r="F166" s="170" t="s">
        <v>308</v>
      </c>
      <c r="G166" s="171" t="s">
        <v>16</v>
      </c>
      <c r="H166" s="171"/>
      <c r="I166" s="171"/>
      <c r="J166" s="172"/>
      <c r="K166" s="240"/>
      <c r="L166" s="240"/>
      <c r="M166" s="240"/>
    </row>
    <row r="167" spans="1:13" s="124" customFormat="1" ht="21.95" customHeight="1" x14ac:dyDescent="0.25">
      <c r="A167" s="242" t="s">
        <v>309</v>
      </c>
      <c r="B167" s="176" t="s">
        <v>310</v>
      </c>
      <c r="C167" s="183"/>
      <c r="D167" s="184" t="s">
        <v>311</v>
      </c>
      <c r="E167" s="185" t="s">
        <v>312</v>
      </c>
      <c r="F167" s="184"/>
      <c r="G167" s="186" t="s">
        <v>16</v>
      </c>
      <c r="H167" s="186"/>
      <c r="I167" s="186"/>
      <c r="J167" s="247"/>
      <c r="K167" s="240"/>
      <c r="L167" s="240"/>
      <c r="M167" s="240"/>
    </row>
    <row r="168" spans="1:13" s="124" customFormat="1" ht="21.95" customHeight="1" x14ac:dyDescent="0.25">
      <c r="A168" s="242" t="s">
        <v>313</v>
      </c>
      <c r="B168" s="143" t="s">
        <v>25</v>
      </c>
      <c r="C168" s="144"/>
      <c r="D168" s="170" t="s">
        <v>254</v>
      </c>
      <c r="E168" s="173" t="s">
        <v>121</v>
      </c>
      <c r="F168" s="170" t="s">
        <v>23</v>
      </c>
      <c r="G168" s="171" t="s">
        <v>42</v>
      </c>
      <c r="H168" s="171"/>
      <c r="I168" s="171"/>
      <c r="J168" s="179" t="s">
        <v>314</v>
      </c>
      <c r="K168" s="240"/>
      <c r="L168" s="240"/>
      <c r="M168" s="240"/>
    </row>
    <row r="169" spans="1:13" s="124" customFormat="1" ht="21.95" customHeight="1" x14ac:dyDescent="0.25">
      <c r="A169" s="242" t="s">
        <v>315</v>
      </c>
      <c r="B169" s="136">
        <v>15</v>
      </c>
      <c r="C169" s="136">
        <v>3000</v>
      </c>
      <c r="D169" s="170" t="s">
        <v>311</v>
      </c>
      <c r="E169" s="173" t="s">
        <v>312</v>
      </c>
      <c r="F169" s="173" t="s">
        <v>316</v>
      </c>
      <c r="G169" s="171" t="s">
        <v>16</v>
      </c>
      <c r="H169" s="171"/>
      <c r="I169" s="171" t="s">
        <v>317</v>
      </c>
      <c r="J169" s="172"/>
      <c r="K169" s="240"/>
      <c r="L169" s="240"/>
      <c r="M169" s="240"/>
    </row>
    <row r="170" spans="1:13" s="124" customFormat="1" ht="21.95" customHeight="1" x14ac:dyDescent="0.25">
      <c r="A170" s="242" t="str">
        <f>A169</f>
        <v>EM.0071</v>
      </c>
      <c r="B170" s="136">
        <f t="shared" ref="B170:C171" si="55">B169</f>
        <v>15</v>
      </c>
      <c r="C170" s="136">
        <f t="shared" si="55"/>
        <v>3000</v>
      </c>
      <c r="D170" s="170">
        <v>45313</v>
      </c>
      <c r="E170" s="173">
        <v>45321</v>
      </c>
      <c r="F170" s="173">
        <v>45325</v>
      </c>
      <c r="G170" s="171" t="s">
        <v>58</v>
      </c>
      <c r="H170" s="171"/>
      <c r="I170" s="171" t="s">
        <v>317</v>
      </c>
      <c r="J170" s="172"/>
      <c r="K170" s="240"/>
      <c r="L170" s="240"/>
      <c r="M170" s="240"/>
    </row>
    <row r="171" spans="1:13" s="124" customFormat="1" ht="21.95" customHeight="1" x14ac:dyDescent="0.25">
      <c r="A171" s="242" t="str">
        <f>A170</f>
        <v>EM.0071</v>
      </c>
      <c r="B171" s="136">
        <f t="shared" si="55"/>
        <v>15</v>
      </c>
      <c r="C171" s="136">
        <f t="shared" si="55"/>
        <v>3000</v>
      </c>
      <c r="D171" s="170">
        <v>45726</v>
      </c>
      <c r="E171" s="138">
        <v>45769</v>
      </c>
      <c r="F171" s="138">
        <v>45800</v>
      </c>
      <c r="G171" s="171" t="s">
        <v>58</v>
      </c>
      <c r="H171" s="171"/>
      <c r="I171" s="171" t="s">
        <v>317</v>
      </c>
      <c r="J171" s="172"/>
      <c r="K171" s="240"/>
      <c r="L171" s="240"/>
      <c r="M171" s="240"/>
    </row>
    <row r="172" spans="1:13" s="124" customFormat="1" ht="21.95" customHeight="1" x14ac:dyDescent="0.25">
      <c r="A172" s="242" t="s">
        <v>318</v>
      </c>
      <c r="B172" s="136">
        <v>4</v>
      </c>
      <c r="C172" s="136">
        <v>1500</v>
      </c>
      <c r="D172" s="138" t="s">
        <v>319</v>
      </c>
      <c r="E172" s="138" t="s">
        <v>140</v>
      </c>
      <c r="F172" s="138"/>
      <c r="G172" s="139" t="s">
        <v>42</v>
      </c>
      <c r="H172" s="139"/>
      <c r="I172" s="139"/>
      <c r="J172" s="140"/>
      <c r="K172" s="240"/>
      <c r="L172" s="240"/>
      <c r="M172" s="240"/>
    </row>
    <row r="173" spans="1:13" s="124" customFormat="1" ht="21.95" customHeight="1" x14ac:dyDescent="0.25">
      <c r="A173" s="242" t="str">
        <f>A172</f>
        <v>EM.0072</v>
      </c>
      <c r="B173" s="136">
        <f t="shared" ref="B173:C173" si="56">B172</f>
        <v>4</v>
      </c>
      <c r="C173" s="136">
        <f t="shared" si="56"/>
        <v>1500</v>
      </c>
      <c r="D173" s="138" t="s">
        <v>320</v>
      </c>
      <c r="E173" s="138"/>
      <c r="F173" s="138"/>
      <c r="G173" s="139"/>
      <c r="H173" s="139"/>
      <c r="I173" s="139"/>
      <c r="J173" s="140"/>
      <c r="K173" s="240"/>
      <c r="L173" s="240"/>
      <c r="M173" s="240"/>
    </row>
    <row r="174" spans="1:13" s="124" customFormat="1" ht="21.95" customHeight="1" x14ac:dyDescent="0.25">
      <c r="A174" s="243" t="s">
        <v>321</v>
      </c>
      <c r="B174" s="146" t="s">
        <v>322</v>
      </c>
      <c r="C174" s="146">
        <v>1500</v>
      </c>
      <c r="D174" s="148" t="s">
        <v>323</v>
      </c>
      <c r="E174" s="148" t="s">
        <v>140</v>
      </c>
      <c r="F174" s="148"/>
      <c r="G174" s="149" t="s">
        <v>42</v>
      </c>
      <c r="H174" s="149"/>
      <c r="I174" s="149" t="s">
        <v>582</v>
      </c>
      <c r="J174" s="187" t="s">
        <v>324</v>
      </c>
      <c r="K174" s="240"/>
      <c r="L174" s="240"/>
      <c r="M174" s="240"/>
    </row>
    <row r="175" spans="1:13" s="124" customFormat="1" ht="21.95" customHeight="1" x14ac:dyDescent="0.25">
      <c r="A175" s="243" t="str">
        <f t="shared" ref="A175:A177" si="57">A174</f>
        <v>EM.0073</v>
      </c>
      <c r="B175" s="146" t="str">
        <f t="shared" ref="B175:C177" si="58">B174</f>
        <v>2.2 / 3</v>
      </c>
      <c r="C175" s="146">
        <f t="shared" si="58"/>
        <v>1500</v>
      </c>
      <c r="D175" s="148"/>
      <c r="E175" s="154" t="s">
        <v>325</v>
      </c>
      <c r="F175" s="148"/>
      <c r="G175" s="149"/>
      <c r="H175" s="149"/>
      <c r="I175" s="149" t="s">
        <v>582</v>
      </c>
      <c r="J175" s="187"/>
      <c r="K175" s="240"/>
      <c r="L175" s="240"/>
      <c r="M175" s="240"/>
    </row>
    <row r="176" spans="1:13" s="124" customFormat="1" ht="21.95" customHeight="1" x14ac:dyDescent="0.25">
      <c r="A176" s="243" t="str">
        <f t="shared" si="57"/>
        <v>EM.0073</v>
      </c>
      <c r="B176" s="146" t="str">
        <f t="shared" si="58"/>
        <v>2.2 / 3</v>
      </c>
      <c r="C176" s="146">
        <f t="shared" si="58"/>
        <v>1500</v>
      </c>
      <c r="D176" s="148" t="s">
        <v>232</v>
      </c>
      <c r="E176" s="148" t="s">
        <v>111</v>
      </c>
      <c r="F176" s="148" t="s">
        <v>112</v>
      </c>
      <c r="G176" s="149" t="s">
        <v>16</v>
      </c>
      <c r="H176" s="149"/>
      <c r="I176" s="149" t="s">
        <v>582</v>
      </c>
      <c r="J176" s="188" t="s">
        <v>326</v>
      </c>
      <c r="K176" s="240"/>
      <c r="L176" s="240"/>
      <c r="M176" s="240"/>
    </row>
    <row r="177" spans="1:13" s="124" customFormat="1" ht="21.95" customHeight="1" x14ac:dyDescent="0.25">
      <c r="A177" s="242" t="str">
        <f t="shared" si="57"/>
        <v>EM.0073</v>
      </c>
      <c r="B177" s="136" t="str">
        <f t="shared" si="58"/>
        <v>2.2 / 3</v>
      </c>
      <c r="C177" s="136">
        <f t="shared" si="58"/>
        <v>1500</v>
      </c>
      <c r="D177" s="138"/>
      <c r="E177" s="138">
        <v>45708</v>
      </c>
      <c r="F177" s="138">
        <v>45740</v>
      </c>
      <c r="G177" s="139" t="s">
        <v>16</v>
      </c>
      <c r="H177" s="139"/>
      <c r="I177" s="139" t="s">
        <v>684</v>
      </c>
      <c r="J177" s="236"/>
      <c r="K177" s="240"/>
      <c r="L177" s="240"/>
      <c r="M177" s="240"/>
    </row>
    <row r="178" spans="1:13" s="124" customFormat="1" ht="21.95" customHeight="1" x14ac:dyDescent="0.25">
      <c r="A178" s="242" t="s">
        <v>327</v>
      </c>
      <c r="B178" s="136">
        <v>75</v>
      </c>
      <c r="C178" s="136">
        <v>3000</v>
      </c>
      <c r="D178" s="138" t="s">
        <v>23</v>
      </c>
      <c r="E178" s="138" t="s">
        <v>140</v>
      </c>
      <c r="F178" s="138"/>
      <c r="G178" s="139" t="s">
        <v>42</v>
      </c>
      <c r="H178" s="139"/>
      <c r="I178" s="139"/>
      <c r="J178" s="140"/>
      <c r="K178" s="240"/>
      <c r="L178" s="240"/>
      <c r="M178" s="240"/>
    </row>
    <row r="179" spans="1:13" s="124" customFormat="1" ht="21.95" customHeight="1" x14ac:dyDescent="0.25">
      <c r="A179" s="242" t="s">
        <v>328</v>
      </c>
      <c r="B179" s="136" t="s">
        <v>185</v>
      </c>
      <c r="C179" s="136">
        <v>1500</v>
      </c>
      <c r="D179" s="138" t="s">
        <v>329</v>
      </c>
      <c r="E179" s="138" t="s">
        <v>330</v>
      </c>
      <c r="F179" s="138"/>
      <c r="G179" s="139" t="s">
        <v>16</v>
      </c>
      <c r="H179" s="139"/>
      <c r="I179" s="139"/>
      <c r="J179" s="140"/>
      <c r="K179" s="240"/>
      <c r="L179" s="240"/>
      <c r="M179" s="240"/>
    </row>
    <row r="180" spans="1:13" s="124" customFormat="1" ht="21.95" customHeight="1" x14ac:dyDescent="0.25">
      <c r="A180" s="242" t="str">
        <f>A179</f>
        <v>EM.0075</v>
      </c>
      <c r="B180" s="136" t="str">
        <f t="shared" ref="B180:C180" si="59">B179</f>
        <v>3.7</v>
      </c>
      <c r="C180" s="136">
        <f t="shared" si="59"/>
        <v>1500</v>
      </c>
      <c r="D180" s="138" t="s">
        <v>331</v>
      </c>
      <c r="E180" s="138" t="s">
        <v>111</v>
      </c>
      <c r="F180" s="138" t="s">
        <v>213</v>
      </c>
      <c r="G180" s="139" t="s">
        <v>16</v>
      </c>
      <c r="H180" s="139"/>
      <c r="I180" s="139"/>
      <c r="J180" s="140"/>
      <c r="K180" s="240"/>
      <c r="L180" s="240"/>
      <c r="M180" s="240"/>
    </row>
    <row r="181" spans="1:13" s="124" customFormat="1" ht="21.95" customHeight="1" x14ac:dyDescent="0.25">
      <c r="A181" s="242" t="s">
        <v>332</v>
      </c>
      <c r="B181" s="136">
        <v>11</v>
      </c>
      <c r="C181" s="136">
        <v>1500</v>
      </c>
      <c r="D181" s="138" t="s">
        <v>333</v>
      </c>
      <c r="E181" s="138" t="s">
        <v>330</v>
      </c>
      <c r="F181" s="138"/>
      <c r="G181" s="139" t="s">
        <v>16</v>
      </c>
      <c r="H181" s="139"/>
      <c r="I181" s="139"/>
      <c r="J181" s="140"/>
      <c r="K181" s="240"/>
      <c r="L181" s="240"/>
      <c r="M181" s="240"/>
    </row>
    <row r="182" spans="1:13" s="124" customFormat="1" ht="21.95" customHeight="1" x14ac:dyDescent="0.25">
      <c r="A182" s="242" t="s">
        <v>334</v>
      </c>
      <c r="B182" s="136" t="s">
        <v>115</v>
      </c>
      <c r="C182" s="136">
        <v>3000</v>
      </c>
      <c r="D182" s="138" t="s">
        <v>333</v>
      </c>
      <c r="E182" s="138" t="s">
        <v>330</v>
      </c>
      <c r="F182" s="138"/>
      <c r="G182" s="139" t="s">
        <v>16</v>
      </c>
      <c r="H182" s="139"/>
      <c r="I182" s="139"/>
      <c r="J182" s="140"/>
      <c r="K182" s="240"/>
      <c r="L182" s="240"/>
      <c r="M182" s="240"/>
    </row>
    <row r="183" spans="1:13" s="124" customFormat="1" ht="21.95" customHeight="1" x14ac:dyDescent="0.25">
      <c r="A183" s="243" t="s">
        <v>335</v>
      </c>
      <c r="B183" s="146" t="s">
        <v>115</v>
      </c>
      <c r="C183" s="146">
        <v>1500</v>
      </c>
      <c r="D183" s="148" t="s">
        <v>336</v>
      </c>
      <c r="E183" s="148" t="s">
        <v>330</v>
      </c>
      <c r="F183" s="148"/>
      <c r="G183" s="149" t="s">
        <v>16</v>
      </c>
      <c r="H183" s="149"/>
      <c r="I183" s="149"/>
      <c r="J183" s="151"/>
      <c r="K183" s="240"/>
      <c r="L183" s="240"/>
      <c r="M183" s="240"/>
    </row>
    <row r="184" spans="1:13" s="124" customFormat="1" ht="21.95" customHeight="1" x14ac:dyDescent="0.25">
      <c r="A184" s="243" t="str">
        <f t="shared" ref="A184:A186" si="60">A183</f>
        <v>EM.0078</v>
      </c>
      <c r="B184" s="146" t="str">
        <f t="shared" ref="B184:C186" si="61">B183</f>
        <v>2.2</v>
      </c>
      <c r="C184" s="146">
        <f t="shared" si="61"/>
        <v>1500</v>
      </c>
      <c r="D184" s="148" t="s">
        <v>337</v>
      </c>
      <c r="E184" s="148" t="s">
        <v>338</v>
      </c>
      <c r="F184" s="148" t="s">
        <v>339</v>
      </c>
      <c r="G184" s="149" t="s">
        <v>340</v>
      </c>
      <c r="H184" s="149"/>
      <c r="I184" s="149"/>
      <c r="J184" s="151"/>
      <c r="K184" s="240"/>
      <c r="L184" s="240"/>
      <c r="M184" s="240"/>
    </row>
    <row r="185" spans="1:13" s="124" customFormat="1" ht="21.95" customHeight="1" x14ac:dyDescent="0.25">
      <c r="A185" s="243" t="str">
        <f t="shared" si="60"/>
        <v>EM.0078</v>
      </c>
      <c r="B185" s="146" t="str">
        <f t="shared" si="61"/>
        <v>2.2</v>
      </c>
      <c r="C185" s="146">
        <f t="shared" si="61"/>
        <v>1500</v>
      </c>
      <c r="D185" s="148" t="s">
        <v>130</v>
      </c>
      <c r="E185" s="148" t="s">
        <v>41</v>
      </c>
      <c r="F185" s="148"/>
      <c r="G185" s="149" t="s">
        <v>42</v>
      </c>
      <c r="H185" s="149"/>
      <c r="I185" s="149"/>
      <c r="J185" s="151"/>
      <c r="K185" s="240"/>
      <c r="L185" s="240"/>
      <c r="M185" s="240"/>
    </row>
    <row r="186" spans="1:13" s="124" customFormat="1" ht="21.95" customHeight="1" x14ac:dyDescent="0.25">
      <c r="A186" s="243" t="str">
        <f t="shared" si="60"/>
        <v>EM.0078</v>
      </c>
      <c r="B186" s="146" t="str">
        <f t="shared" si="61"/>
        <v>2.2</v>
      </c>
      <c r="C186" s="146">
        <f t="shared" si="61"/>
        <v>1500</v>
      </c>
      <c r="D186" s="148">
        <v>45540</v>
      </c>
      <c r="E186" s="148">
        <v>45540</v>
      </c>
      <c r="F186" s="148">
        <v>45553</v>
      </c>
      <c r="G186" s="149" t="s">
        <v>58</v>
      </c>
      <c r="H186" s="149"/>
      <c r="I186" s="149" t="s">
        <v>654</v>
      </c>
      <c r="J186" s="151"/>
      <c r="K186" s="240"/>
      <c r="L186" s="240"/>
      <c r="M186" s="240"/>
    </row>
    <row r="187" spans="1:13" s="124" customFormat="1" ht="21.95" customHeight="1" x14ac:dyDescent="0.25">
      <c r="A187" s="242" t="s">
        <v>341</v>
      </c>
      <c r="B187" s="136">
        <v>4</v>
      </c>
      <c r="C187" s="136">
        <v>1500</v>
      </c>
      <c r="D187" s="138" t="s">
        <v>336</v>
      </c>
      <c r="E187" s="138" t="s">
        <v>330</v>
      </c>
      <c r="F187" s="138" t="s">
        <v>83</v>
      </c>
      <c r="G187" s="139" t="s">
        <v>16</v>
      </c>
      <c r="H187" s="139" t="s">
        <v>83</v>
      </c>
      <c r="I187" s="139"/>
      <c r="J187" s="140"/>
      <c r="K187" s="240"/>
      <c r="L187" s="240"/>
      <c r="M187" s="240"/>
    </row>
    <row r="188" spans="1:13" s="124" customFormat="1" ht="21.95" customHeight="1" x14ac:dyDescent="0.25">
      <c r="A188" s="242" t="str">
        <f>A187</f>
        <v>EM.0079</v>
      </c>
      <c r="B188" s="136">
        <f>B187</f>
        <v>4</v>
      </c>
      <c r="C188" s="136">
        <f>C187</f>
        <v>1500</v>
      </c>
      <c r="D188" s="138" t="s">
        <v>110</v>
      </c>
      <c r="E188" s="138" t="s">
        <v>111</v>
      </c>
      <c r="F188" s="138" t="s">
        <v>213</v>
      </c>
      <c r="G188" s="139" t="s">
        <v>16</v>
      </c>
      <c r="H188" s="139" t="s">
        <v>193</v>
      </c>
      <c r="I188" s="139"/>
      <c r="J188" s="140"/>
      <c r="K188" s="240"/>
      <c r="L188" s="240"/>
      <c r="M188" s="240"/>
    </row>
    <row r="189" spans="1:13" s="124" customFormat="1" ht="21.95" customHeight="1" x14ac:dyDescent="0.25">
      <c r="A189" s="242" t="str">
        <f t="shared" ref="A189:C189" si="62">A188</f>
        <v>EM.0079</v>
      </c>
      <c r="B189" s="136">
        <f t="shared" si="62"/>
        <v>4</v>
      </c>
      <c r="C189" s="136">
        <f t="shared" si="62"/>
        <v>1500</v>
      </c>
      <c r="D189" s="138">
        <v>45726</v>
      </c>
      <c r="E189" s="138">
        <v>45769</v>
      </c>
      <c r="F189" s="138">
        <v>45800</v>
      </c>
      <c r="G189" s="139" t="s">
        <v>58</v>
      </c>
      <c r="H189" s="139"/>
      <c r="I189" s="139" t="s">
        <v>699</v>
      </c>
      <c r="J189" s="140"/>
      <c r="K189" s="240"/>
      <c r="L189" s="240"/>
      <c r="M189" s="240"/>
    </row>
    <row r="190" spans="1:13" s="124" customFormat="1" ht="21.95" customHeight="1" x14ac:dyDescent="0.25">
      <c r="A190" s="242" t="s">
        <v>342</v>
      </c>
      <c r="B190" s="136" t="s">
        <v>30</v>
      </c>
      <c r="C190" s="136">
        <v>1500</v>
      </c>
      <c r="D190" s="138" t="s">
        <v>343</v>
      </c>
      <c r="E190" s="138" t="s">
        <v>153</v>
      </c>
      <c r="F190" s="138"/>
      <c r="G190" s="139" t="s">
        <v>16</v>
      </c>
      <c r="H190" s="139"/>
      <c r="I190" s="139"/>
      <c r="J190" s="140"/>
      <c r="K190" s="240"/>
      <c r="L190" s="240"/>
      <c r="M190" s="240"/>
    </row>
    <row r="191" spans="1:13" s="124" customFormat="1" ht="21.95" customHeight="1" x14ac:dyDescent="0.25">
      <c r="A191" s="242" t="s">
        <v>344</v>
      </c>
      <c r="B191" s="136" t="s">
        <v>30</v>
      </c>
      <c r="C191" s="136">
        <v>1500</v>
      </c>
      <c r="D191" s="138" t="s">
        <v>343</v>
      </c>
      <c r="E191" s="138" t="s">
        <v>153</v>
      </c>
      <c r="F191" s="138"/>
      <c r="G191" s="139" t="s">
        <v>16</v>
      </c>
      <c r="H191" s="139"/>
      <c r="I191" s="139"/>
      <c r="J191" s="140"/>
      <c r="K191" s="240"/>
      <c r="L191" s="240"/>
      <c r="M191" s="240"/>
    </row>
    <row r="192" spans="1:13" s="124" customFormat="1" ht="21.95" customHeight="1" x14ac:dyDescent="0.25">
      <c r="A192" s="242" t="s">
        <v>345</v>
      </c>
      <c r="B192" s="136">
        <v>4</v>
      </c>
      <c r="C192" s="136">
        <v>1500</v>
      </c>
      <c r="D192" s="138" t="s">
        <v>346</v>
      </c>
      <c r="E192" s="138" t="s">
        <v>153</v>
      </c>
      <c r="F192" s="138"/>
      <c r="G192" s="139"/>
      <c r="H192" s="139"/>
      <c r="I192" s="139"/>
      <c r="J192" s="140"/>
      <c r="K192" s="240"/>
      <c r="L192" s="240"/>
      <c r="M192" s="240"/>
    </row>
    <row r="193" spans="1:13" s="124" customFormat="1" ht="21.95" customHeight="1" x14ac:dyDescent="0.25">
      <c r="A193" s="242" t="s">
        <v>347</v>
      </c>
      <c r="B193" s="136">
        <v>4</v>
      </c>
      <c r="C193" s="144">
        <v>1500</v>
      </c>
      <c r="D193" s="138" t="s">
        <v>348</v>
      </c>
      <c r="E193" s="138"/>
      <c r="F193" s="138"/>
      <c r="G193" s="139"/>
      <c r="H193" s="145" t="s">
        <v>349</v>
      </c>
      <c r="I193" s="145"/>
      <c r="J193" s="140"/>
      <c r="K193" s="240"/>
      <c r="L193" s="240"/>
      <c r="M193" s="240"/>
    </row>
    <row r="194" spans="1:13" s="124" customFormat="1" ht="21.95" customHeight="1" x14ac:dyDescent="0.25">
      <c r="A194" s="242" t="str">
        <f>A193</f>
        <v>EM.0083</v>
      </c>
      <c r="B194" s="136">
        <v>4</v>
      </c>
      <c r="C194" s="144">
        <f t="shared" ref="C194:C195" si="63">C193</f>
        <v>1500</v>
      </c>
      <c r="D194" s="138" t="s">
        <v>350</v>
      </c>
      <c r="E194" s="138" t="s">
        <v>41</v>
      </c>
      <c r="F194" s="138"/>
      <c r="G194" s="139" t="s">
        <v>42</v>
      </c>
      <c r="H194" s="145"/>
      <c r="I194" s="145" t="s">
        <v>641</v>
      </c>
      <c r="J194" s="140"/>
      <c r="K194" s="240"/>
      <c r="L194" s="240"/>
      <c r="M194" s="240"/>
    </row>
    <row r="195" spans="1:13" s="124" customFormat="1" ht="21.95" customHeight="1" x14ac:dyDescent="0.25">
      <c r="A195" s="242" t="str">
        <f>A194</f>
        <v>EM.0083</v>
      </c>
      <c r="B195" s="136">
        <v>4</v>
      </c>
      <c r="C195" s="144">
        <f t="shared" si="63"/>
        <v>1500</v>
      </c>
      <c r="D195" s="138">
        <v>45495</v>
      </c>
      <c r="E195" s="138">
        <v>45495</v>
      </c>
      <c r="F195" s="138">
        <v>45532</v>
      </c>
      <c r="G195" s="139" t="s">
        <v>58</v>
      </c>
      <c r="H195" s="145"/>
      <c r="I195" s="145" t="s">
        <v>641</v>
      </c>
      <c r="J195" s="140"/>
      <c r="K195" s="240"/>
      <c r="L195" s="240"/>
      <c r="M195" s="240"/>
    </row>
    <row r="196" spans="1:13" s="124" customFormat="1" ht="21.95" customHeight="1" x14ac:dyDescent="0.25">
      <c r="A196" s="242" t="s">
        <v>351</v>
      </c>
      <c r="B196" s="143" t="s">
        <v>25</v>
      </c>
      <c r="C196" s="144"/>
      <c r="D196" s="138" t="s">
        <v>153</v>
      </c>
      <c r="E196" s="138"/>
      <c r="F196" s="138"/>
      <c r="G196" s="139"/>
      <c r="H196" s="139"/>
      <c r="I196" s="139"/>
      <c r="J196" s="140"/>
      <c r="K196" s="240"/>
      <c r="L196" s="240"/>
      <c r="M196" s="240"/>
    </row>
    <row r="197" spans="1:13" s="124" customFormat="1" ht="21.95" customHeight="1" x14ac:dyDescent="0.25">
      <c r="A197" s="242" t="s">
        <v>352</v>
      </c>
      <c r="B197" s="136">
        <v>4</v>
      </c>
      <c r="C197" s="136">
        <v>1500</v>
      </c>
      <c r="D197" s="138" t="s">
        <v>348</v>
      </c>
      <c r="E197" s="138" t="s">
        <v>181</v>
      </c>
      <c r="F197" s="173" t="s">
        <v>83</v>
      </c>
      <c r="G197" s="171" t="s">
        <v>42</v>
      </c>
      <c r="H197" s="171" t="s">
        <v>83</v>
      </c>
      <c r="I197" s="171"/>
      <c r="J197" s="172" t="s">
        <v>353</v>
      </c>
      <c r="K197" s="240"/>
      <c r="L197" s="240"/>
      <c r="M197" s="240"/>
    </row>
    <row r="198" spans="1:13" s="124" customFormat="1" ht="21.95" customHeight="1" x14ac:dyDescent="0.25">
      <c r="A198" s="242" t="str">
        <f>A197</f>
        <v>EM.0085</v>
      </c>
      <c r="B198" s="136">
        <f>B197</f>
        <v>4</v>
      </c>
      <c r="C198" s="136">
        <f>C197</f>
        <v>1500</v>
      </c>
      <c r="D198" s="138" t="s">
        <v>339</v>
      </c>
      <c r="E198" s="138" t="s">
        <v>84</v>
      </c>
      <c r="F198" s="138" t="s">
        <v>354</v>
      </c>
      <c r="G198" s="139" t="s">
        <v>42</v>
      </c>
      <c r="H198" s="139"/>
      <c r="I198" s="139"/>
      <c r="J198" s="140"/>
      <c r="K198" s="240"/>
      <c r="L198" s="240"/>
      <c r="M198" s="240"/>
    </row>
    <row r="199" spans="1:13" s="124" customFormat="1" ht="21.95" customHeight="1" x14ac:dyDescent="0.25">
      <c r="A199" s="242" t="s">
        <v>352</v>
      </c>
      <c r="B199" s="136">
        <f>B198</f>
        <v>4</v>
      </c>
      <c r="C199" s="136">
        <f>C198</f>
        <v>1500</v>
      </c>
      <c r="D199" s="138">
        <v>45726</v>
      </c>
      <c r="E199" s="138">
        <v>45769</v>
      </c>
      <c r="F199" s="138">
        <v>45800</v>
      </c>
      <c r="G199" s="139"/>
      <c r="H199" s="139"/>
      <c r="I199" s="145" t="s">
        <v>661</v>
      </c>
      <c r="J199" s="140"/>
      <c r="K199" s="240"/>
      <c r="L199" s="240"/>
      <c r="M199" s="240"/>
    </row>
    <row r="200" spans="1:13" s="124" customFormat="1" ht="21.95" customHeight="1" x14ac:dyDescent="0.25">
      <c r="A200" s="243" t="s">
        <v>355</v>
      </c>
      <c r="B200" s="146">
        <v>4</v>
      </c>
      <c r="C200" s="146">
        <v>1500</v>
      </c>
      <c r="D200" s="148" t="s">
        <v>348</v>
      </c>
      <c r="E200" s="148" t="s">
        <v>181</v>
      </c>
      <c r="F200" s="148"/>
      <c r="G200" s="149" t="s">
        <v>42</v>
      </c>
      <c r="H200" s="149"/>
      <c r="I200" s="149" t="s">
        <v>583</v>
      </c>
      <c r="J200" s="151"/>
      <c r="K200" s="240"/>
      <c r="L200" s="240"/>
      <c r="M200" s="240"/>
    </row>
    <row r="201" spans="1:13" s="124" customFormat="1" ht="21.95" customHeight="1" x14ac:dyDescent="0.25">
      <c r="A201" s="243" t="str">
        <f t="shared" ref="A201:A204" si="64">A200</f>
        <v>EM.0086</v>
      </c>
      <c r="B201" s="146">
        <f t="shared" ref="B201:C204" si="65">B200</f>
        <v>4</v>
      </c>
      <c r="C201" s="146">
        <f t="shared" si="65"/>
        <v>1500</v>
      </c>
      <c r="D201" s="148" t="s">
        <v>349</v>
      </c>
      <c r="E201" s="148" t="s">
        <v>84</v>
      </c>
      <c r="F201" s="148" t="s">
        <v>349</v>
      </c>
      <c r="G201" s="149" t="s">
        <v>42</v>
      </c>
      <c r="H201" s="149"/>
      <c r="I201" s="149" t="s">
        <v>583</v>
      </c>
      <c r="J201" s="151"/>
      <c r="K201" s="240"/>
      <c r="L201" s="240"/>
      <c r="M201" s="240"/>
    </row>
    <row r="202" spans="1:13" s="124" customFormat="1" ht="21.95" customHeight="1" x14ac:dyDescent="0.25">
      <c r="A202" s="243" t="str">
        <f t="shared" si="64"/>
        <v>EM.0086</v>
      </c>
      <c r="B202" s="146">
        <f t="shared" si="65"/>
        <v>4</v>
      </c>
      <c r="C202" s="146">
        <f t="shared" si="65"/>
        <v>1500</v>
      </c>
      <c r="D202" s="148" t="s">
        <v>141</v>
      </c>
      <c r="E202" s="148" t="s">
        <v>83</v>
      </c>
      <c r="F202" s="148" t="s">
        <v>142</v>
      </c>
      <c r="G202" s="149" t="s">
        <v>16</v>
      </c>
      <c r="H202" s="149"/>
      <c r="I202" s="149" t="s">
        <v>583</v>
      </c>
      <c r="J202" s="151"/>
      <c r="K202" s="240"/>
      <c r="L202" s="240"/>
      <c r="M202" s="240"/>
    </row>
    <row r="203" spans="1:13" s="124" customFormat="1" ht="21.95" customHeight="1" x14ac:dyDescent="0.25">
      <c r="A203" s="243" t="str">
        <f t="shared" si="64"/>
        <v>EM.0086</v>
      </c>
      <c r="B203" s="146">
        <f t="shared" si="65"/>
        <v>4</v>
      </c>
      <c r="C203" s="146">
        <f t="shared" si="65"/>
        <v>1500</v>
      </c>
      <c r="D203" s="148">
        <v>45495</v>
      </c>
      <c r="E203" s="148">
        <v>45495</v>
      </c>
      <c r="F203" s="148">
        <v>45532</v>
      </c>
      <c r="G203" s="149" t="s">
        <v>58</v>
      </c>
      <c r="H203" s="149"/>
      <c r="I203" s="149" t="s">
        <v>640</v>
      </c>
      <c r="J203" s="151"/>
      <c r="K203" s="240"/>
      <c r="L203" s="240"/>
      <c r="M203" s="240"/>
    </row>
    <row r="204" spans="1:13" s="124" customFormat="1" ht="21.95" customHeight="1" x14ac:dyDescent="0.25">
      <c r="A204" s="243" t="str">
        <f t="shared" si="64"/>
        <v>EM.0086</v>
      </c>
      <c r="B204" s="146">
        <f t="shared" si="65"/>
        <v>4</v>
      </c>
      <c r="C204" s="146">
        <f t="shared" si="65"/>
        <v>1500</v>
      </c>
      <c r="D204" s="148">
        <v>45532</v>
      </c>
      <c r="E204" s="148">
        <v>45532</v>
      </c>
      <c r="F204" s="148">
        <v>45553</v>
      </c>
      <c r="G204" s="149" t="s">
        <v>58</v>
      </c>
      <c r="H204" s="149"/>
      <c r="I204" s="149" t="s">
        <v>649</v>
      </c>
      <c r="J204" s="151"/>
      <c r="K204" s="240"/>
      <c r="L204" s="240"/>
      <c r="M204" s="240"/>
    </row>
    <row r="205" spans="1:13" s="124" customFormat="1" ht="21.95" customHeight="1" x14ac:dyDescent="0.25">
      <c r="A205" s="242" t="s">
        <v>356</v>
      </c>
      <c r="B205" s="136">
        <v>37</v>
      </c>
      <c r="C205" s="136">
        <v>1500</v>
      </c>
      <c r="D205" s="138" t="s">
        <v>154</v>
      </c>
      <c r="E205" s="138" t="s">
        <v>181</v>
      </c>
      <c r="F205" s="173"/>
      <c r="G205" s="171" t="s">
        <v>42</v>
      </c>
      <c r="H205" s="171"/>
      <c r="I205" s="171"/>
      <c r="J205" s="172"/>
      <c r="K205" s="240"/>
      <c r="L205" s="240"/>
      <c r="M205" s="240"/>
    </row>
    <row r="206" spans="1:13" s="124" customFormat="1" ht="21.95" customHeight="1" x14ac:dyDescent="0.25">
      <c r="A206" s="242" t="s">
        <v>357</v>
      </c>
      <c r="B206" s="136">
        <v>37</v>
      </c>
      <c r="C206" s="136">
        <v>1500</v>
      </c>
      <c r="D206" s="138" t="s">
        <v>180</v>
      </c>
      <c r="E206" s="138" t="s">
        <v>181</v>
      </c>
      <c r="F206" s="173"/>
      <c r="G206" s="171" t="s">
        <v>42</v>
      </c>
      <c r="H206" s="171"/>
      <c r="I206" s="171"/>
      <c r="J206" s="172"/>
      <c r="K206" s="240"/>
      <c r="L206" s="240"/>
      <c r="M206" s="240"/>
    </row>
    <row r="207" spans="1:13" s="124" customFormat="1" ht="21.95" customHeight="1" x14ac:dyDescent="0.25">
      <c r="A207" s="248" t="s">
        <v>358</v>
      </c>
      <c r="B207" s="205" t="s">
        <v>115</v>
      </c>
      <c r="C207" s="205">
        <v>1500</v>
      </c>
      <c r="D207" s="249" t="s">
        <v>359</v>
      </c>
      <c r="E207" s="249" t="s">
        <v>360</v>
      </c>
      <c r="F207" s="249" t="s">
        <v>83</v>
      </c>
      <c r="G207" s="206" t="s">
        <v>51</v>
      </c>
      <c r="H207" s="206" t="s">
        <v>83</v>
      </c>
      <c r="I207" s="206"/>
      <c r="J207" s="250"/>
      <c r="K207" s="240"/>
      <c r="L207" s="240"/>
      <c r="M207" s="240"/>
    </row>
    <row r="208" spans="1:13" s="124" customFormat="1" ht="21.95" customHeight="1" x14ac:dyDescent="0.25">
      <c r="A208" s="248" t="str">
        <f>A207</f>
        <v>EM.0089</v>
      </c>
      <c r="B208" s="205" t="str">
        <f t="shared" ref="B208:C209" si="66">B207</f>
        <v>2.2</v>
      </c>
      <c r="C208" s="205">
        <f t="shared" si="66"/>
        <v>1500</v>
      </c>
      <c r="D208" s="249" t="s">
        <v>83</v>
      </c>
      <c r="E208" s="249" t="s">
        <v>84</v>
      </c>
      <c r="F208" s="249" t="s">
        <v>232</v>
      </c>
      <c r="G208" s="206" t="s">
        <v>16</v>
      </c>
      <c r="H208" s="251" t="s">
        <v>296</v>
      </c>
      <c r="I208" s="251"/>
      <c r="J208" s="250"/>
      <c r="K208" s="240"/>
      <c r="L208" s="240"/>
      <c r="M208" s="240"/>
    </row>
    <row r="209" spans="1:13" s="124" customFormat="1" ht="21.95" customHeight="1" x14ac:dyDescent="0.25">
      <c r="A209" s="248" t="str">
        <f>A208</f>
        <v>EM.0089</v>
      </c>
      <c r="B209" s="205" t="str">
        <f t="shared" si="66"/>
        <v>2.2</v>
      </c>
      <c r="C209" s="205">
        <f t="shared" si="66"/>
        <v>1500</v>
      </c>
      <c r="D209" s="249" t="s">
        <v>83</v>
      </c>
      <c r="E209" s="249">
        <v>45674</v>
      </c>
      <c r="F209" s="249">
        <v>45708</v>
      </c>
      <c r="G209" s="206" t="s">
        <v>58</v>
      </c>
      <c r="H209" s="251"/>
      <c r="I209" s="207" t="s">
        <v>579</v>
      </c>
      <c r="J209" s="250"/>
      <c r="K209" s="240"/>
      <c r="L209" s="240"/>
      <c r="M209" s="240"/>
    </row>
    <row r="210" spans="1:13" s="124" customFormat="1" ht="21.95" customHeight="1" x14ac:dyDescent="0.25">
      <c r="A210" s="242" t="s">
        <v>361</v>
      </c>
      <c r="B210" s="136" t="s">
        <v>30</v>
      </c>
      <c r="C210" s="136">
        <v>1500</v>
      </c>
      <c r="D210" s="138" t="s">
        <v>362</v>
      </c>
      <c r="E210" s="138" t="s">
        <v>84</v>
      </c>
      <c r="F210" s="138" t="s">
        <v>232</v>
      </c>
      <c r="G210" s="139" t="s">
        <v>16</v>
      </c>
      <c r="H210" s="145"/>
      <c r="I210" s="145"/>
      <c r="J210" s="140"/>
      <c r="K210" s="240"/>
      <c r="L210" s="240"/>
      <c r="M210" s="240"/>
    </row>
    <row r="211" spans="1:13" s="124" customFormat="1" ht="21.95" customHeight="1" x14ac:dyDescent="0.25">
      <c r="A211" s="242" t="s">
        <v>361</v>
      </c>
      <c r="B211" s="136" t="s">
        <v>30</v>
      </c>
      <c r="C211" s="136">
        <v>1500</v>
      </c>
      <c r="D211" s="138">
        <v>45349</v>
      </c>
      <c r="E211" s="173">
        <v>45365</v>
      </c>
      <c r="F211" s="173">
        <v>45399</v>
      </c>
      <c r="G211" s="139" t="s">
        <v>58</v>
      </c>
      <c r="H211" s="171"/>
      <c r="I211" s="171"/>
      <c r="J211" s="172"/>
      <c r="K211" s="240"/>
      <c r="L211" s="240"/>
      <c r="M211" s="240"/>
    </row>
    <row r="212" spans="1:13" s="124" customFormat="1" ht="21.95" customHeight="1" x14ac:dyDescent="0.25">
      <c r="A212" s="243" t="s">
        <v>363</v>
      </c>
      <c r="B212" s="146">
        <v>55</v>
      </c>
      <c r="C212" s="146">
        <v>1500</v>
      </c>
      <c r="D212" s="148" t="s">
        <v>300</v>
      </c>
      <c r="E212" s="148" t="s">
        <v>301</v>
      </c>
      <c r="F212" s="148"/>
      <c r="G212" s="149" t="s">
        <v>16</v>
      </c>
      <c r="H212" s="149"/>
      <c r="I212" s="149" t="s">
        <v>364</v>
      </c>
      <c r="J212" s="151"/>
      <c r="K212" s="240"/>
      <c r="L212" s="240"/>
      <c r="M212" s="240"/>
    </row>
    <row r="213" spans="1:13" s="124" customFormat="1" ht="21.95" customHeight="1" x14ac:dyDescent="0.25">
      <c r="A213" s="243" t="str">
        <f t="shared" ref="A213:A215" si="67">A212</f>
        <v>EM.0091</v>
      </c>
      <c r="B213" s="146">
        <f t="shared" ref="B213:C215" si="68">B212</f>
        <v>55</v>
      </c>
      <c r="C213" s="146">
        <f t="shared" si="68"/>
        <v>1500</v>
      </c>
      <c r="D213" s="148" t="s">
        <v>224</v>
      </c>
      <c r="E213" s="148" t="s">
        <v>225</v>
      </c>
      <c r="F213" s="148" t="s">
        <v>226</v>
      </c>
      <c r="G213" s="149" t="s">
        <v>58</v>
      </c>
      <c r="H213" s="149"/>
      <c r="I213" s="149" t="s">
        <v>364</v>
      </c>
      <c r="J213" s="151"/>
      <c r="K213" s="240"/>
      <c r="L213" s="240"/>
      <c r="M213" s="240"/>
    </row>
    <row r="214" spans="1:13" s="124" customFormat="1" ht="21.95" customHeight="1" x14ac:dyDescent="0.25">
      <c r="A214" s="243" t="str">
        <f t="shared" si="67"/>
        <v>EM.0091</v>
      </c>
      <c r="B214" s="146">
        <f t="shared" si="68"/>
        <v>55</v>
      </c>
      <c r="C214" s="146">
        <f t="shared" si="68"/>
        <v>1500</v>
      </c>
      <c r="D214" s="148">
        <v>45296</v>
      </c>
      <c r="E214" s="148">
        <v>45306</v>
      </c>
      <c r="F214" s="148">
        <v>45321</v>
      </c>
      <c r="G214" s="149" t="s">
        <v>58</v>
      </c>
      <c r="H214" s="149"/>
      <c r="I214" s="149" t="s">
        <v>364</v>
      </c>
      <c r="J214" s="151"/>
      <c r="K214" s="240"/>
      <c r="L214" s="240"/>
      <c r="M214" s="240"/>
    </row>
    <row r="215" spans="1:13" s="124" customFormat="1" ht="21.95" customHeight="1" x14ac:dyDescent="0.25">
      <c r="A215" s="243" t="str">
        <f t="shared" si="67"/>
        <v>EM.0091</v>
      </c>
      <c r="B215" s="146">
        <f t="shared" si="68"/>
        <v>55</v>
      </c>
      <c r="C215" s="146">
        <f t="shared" si="68"/>
        <v>1500</v>
      </c>
      <c r="D215" s="148">
        <v>45532</v>
      </c>
      <c r="E215" s="148">
        <v>45532</v>
      </c>
      <c r="F215" s="148">
        <v>45553</v>
      </c>
      <c r="G215" s="149" t="s">
        <v>58</v>
      </c>
      <c r="H215" s="149"/>
      <c r="I215" s="149" t="s">
        <v>647</v>
      </c>
      <c r="J215" s="151"/>
      <c r="K215" s="240"/>
      <c r="L215" s="240"/>
      <c r="M215" s="240"/>
    </row>
    <row r="216" spans="1:13" s="124" customFormat="1" ht="21.95" customHeight="1" x14ac:dyDescent="0.25">
      <c r="A216" s="242" t="s">
        <v>365</v>
      </c>
      <c r="B216" s="136">
        <v>45</v>
      </c>
      <c r="C216" s="136">
        <v>1500</v>
      </c>
      <c r="D216" s="138" t="s">
        <v>366</v>
      </c>
      <c r="E216" s="138" t="s">
        <v>360</v>
      </c>
      <c r="F216" s="173"/>
      <c r="G216" s="171" t="s">
        <v>58</v>
      </c>
      <c r="H216" s="252" t="s">
        <v>367</v>
      </c>
      <c r="I216" s="252"/>
      <c r="J216" s="172"/>
      <c r="K216" s="240"/>
      <c r="L216" s="240"/>
      <c r="M216" s="240"/>
    </row>
    <row r="217" spans="1:13" s="124" customFormat="1" ht="21.95" customHeight="1" x14ac:dyDescent="0.25">
      <c r="A217" s="242" t="s">
        <v>368</v>
      </c>
      <c r="B217" s="136" t="s">
        <v>60</v>
      </c>
      <c r="C217" s="136">
        <v>1500</v>
      </c>
      <c r="D217" s="138" t="s">
        <v>366</v>
      </c>
      <c r="E217" s="138" t="s">
        <v>360</v>
      </c>
      <c r="F217" s="173"/>
      <c r="G217" s="171" t="s">
        <v>58</v>
      </c>
      <c r="H217" s="171"/>
      <c r="I217" s="171"/>
      <c r="J217" s="247" t="s">
        <v>369</v>
      </c>
      <c r="K217" s="240"/>
      <c r="L217" s="240"/>
      <c r="M217" s="240"/>
    </row>
    <row r="218" spans="1:13" s="124" customFormat="1" ht="21.95" customHeight="1" x14ac:dyDescent="0.25">
      <c r="A218" s="242" t="s">
        <v>370</v>
      </c>
      <c r="B218" s="136">
        <v>4</v>
      </c>
      <c r="C218" s="136">
        <v>1500</v>
      </c>
      <c r="D218" s="138" t="s">
        <v>360</v>
      </c>
      <c r="E218" s="137"/>
      <c r="F218" s="137"/>
      <c r="G218" s="140"/>
      <c r="H218" s="139"/>
      <c r="I218" s="139"/>
      <c r="J218" s="140"/>
      <c r="K218" s="240"/>
      <c r="L218" s="240"/>
      <c r="M218" s="240"/>
    </row>
    <row r="219" spans="1:13" s="124" customFormat="1" ht="21.95" customHeight="1" x14ac:dyDescent="0.25">
      <c r="A219" s="242" t="s">
        <v>371</v>
      </c>
      <c r="B219" s="136" t="s">
        <v>144</v>
      </c>
      <c r="C219" s="136">
        <v>1500</v>
      </c>
      <c r="D219" s="138" t="s">
        <v>372</v>
      </c>
      <c r="E219" s="173">
        <v>44911</v>
      </c>
      <c r="F219" s="173" t="s">
        <v>232</v>
      </c>
      <c r="G219" s="171" t="s">
        <v>16</v>
      </c>
      <c r="H219" s="139"/>
      <c r="I219" s="139"/>
      <c r="J219" s="140"/>
      <c r="K219" s="240"/>
      <c r="L219" s="240"/>
      <c r="M219" s="240"/>
    </row>
    <row r="220" spans="1:13" s="124" customFormat="1" ht="21.95" customHeight="1" x14ac:dyDescent="0.25">
      <c r="A220" s="242" t="s">
        <v>373</v>
      </c>
      <c r="B220" s="136">
        <v>4</v>
      </c>
      <c r="C220" s="136">
        <v>1500</v>
      </c>
      <c r="D220" s="138" t="s">
        <v>374</v>
      </c>
      <c r="E220" s="173">
        <v>44911</v>
      </c>
      <c r="F220" s="137" t="s">
        <v>349</v>
      </c>
      <c r="G220" s="171" t="s">
        <v>42</v>
      </c>
      <c r="H220" s="139" t="s">
        <v>40</v>
      </c>
      <c r="I220" s="139"/>
      <c r="J220" s="140"/>
      <c r="K220" s="253">
        <f>E219</f>
        <v>44911</v>
      </c>
      <c r="L220" s="240"/>
      <c r="M220" s="240"/>
    </row>
    <row r="221" spans="1:13" s="124" customFormat="1" ht="21.95" customHeight="1" x14ac:dyDescent="0.25">
      <c r="A221" s="242" t="s">
        <v>373</v>
      </c>
      <c r="B221" s="136">
        <v>4</v>
      </c>
      <c r="C221" s="136">
        <v>1500</v>
      </c>
      <c r="D221" s="138">
        <v>45539</v>
      </c>
      <c r="E221" s="173">
        <v>45539</v>
      </c>
      <c r="F221" s="137">
        <v>45553</v>
      </c>
      <c r="G221" s="171" t="s">
        <v>58</v>
      </c>
      <c r="H221" s="139"/>
      <c r="I221" s="139" t="s">
        <v>652</v>
      </c>
      <c r="J221" s="140"/>
      <c r="K221" s="253"/>
      <c r="L221" s="240"/>
      <c r="M221" s="240"/>
    </row>
    <row r="222" spans="1:13" s="124" customFormat="1" ht="21.95" customHeight="1" x14ac:dyDescent="0.25">
      <c r="A222" s="242" t="s">
        <v>375</v>
      </c>
      <c r="B222" s="136">
        <v>3</v>
      </c>
      <c r="C222" s="136">
        <v>1500</v>
      </c>
      <c r="D222" s="138" t="s">
        <v>155</v>
      </c>
      <c r="E222" s="173">
        <v>44911</v>
      </c>
      <c r="F222" s="137" t="s">
        <v>349</v>
      </c>
      <c r="G222" s="171" t="s">
        <v>42</v>
      </c>
      <c r="H222" s="139"/>
      <c r="I222" s="139" t="s">
        <v>643</v>
      </c>
      <c r="J222" s="140"/>
      <c r="K222" s="253">
        <v>45643</v>
      </c>
      <c r="L222" s="240"/>
      <c r="M222" s="240"/>
    </row>
    <row r="223" spans="1:13" s="124" customFormat="1" ht="21.95" customHeight="1" x14ac:dyDescent="0.25">
      <c r="A223" s="242" t="s">
        <v>375</v>
      </c>
      <c r="B223" s="136">
        <v>3</v>
      </c>
      <c r="C223" s="136">
        <v>1500</v>
      </c>
      <c r="D223" s="138">
        <v>45495</v>
      </c>
      <c r="E223" s="173">
        <v>45495</v>
      </c>
      <c r="F223" s="137">
        <v>45532</v>
      </c>
      <c r="G223" s="171" t="s">
        <v>58</v>
      </c>
      <c r="H223" s="139"/>
      <c r="I223" s="139" t="s">
        <v>643</v>
      </c>
      <c r="J223" s="140"/>
      <c r="K223" s="253"/>
      <c r="L223" s="240"/>
      <c r="M223" s="240"/>
    </row>
    <row r="224" spans="1:13" s="124" customFormat="1" ht="21.95" customHeight="1" x14ac:dyDescent="0.25">
      <c r="A224" s="242" t="s">
        <v>375</v>
      </c>
      <c r="B224" s="136">
        <v>3</v>
      </c>
      <c r="C224" s="136">
        <v>1500</v>
      </c>
      <c r="D224" s="138"/>
      <c r="E224" s="173">
        <v>45708</v>
      </c>
      <c r="F224" s="137"/>
      <c r="G224" s="171" t="s">
        <v>58</v>
      </c>
      <c r="H224" s="139"/>
      <c r="I224" s="199" t="s">
        <v>685</v>
      </c>
      <c r="J224" s="140"/>
      <c r="K224" s="253"/>
      <c r="L224" s="240"/>
      <c r="M224" s="240"/>
    </row>
    <row r="225" spans="1:13" s="124" customFormat="1" ht="21.95" customHeight="1" x14ac:dyDescent="0.25">
      <c r="A225" s="242" t="s">
        <v>376</v>
      </c>
      <c r="B225" s="136" t="s">
        <v>30</v>
      </c>
      <c r="C225" s="136">
        <v>1500</v>
      </c>
      <c r="D225" s="138" t="s">
        <v>377</v>
      </c>
      <c r="E225" s="173">
        <v>44911</v>
      </c>
      <c r="F225" s="173" t="s">
        <v>232</v>
      </c>
      <c r="G225" s="171" t="s">
        <v>16</v>
      </c>
      <c r="H225" s="139"/>
      <c r="I225" s="139"/>
      <c r="J225" s="140"/>
      <c r="K225" s="253">
        <v>45644</v>
      </c>
      <c r="L225" s="240"/>
      <c r="M225" s="240"/>
    </row>
    <row r="226" spans="1:13" s="124" customFormat="1" ht="21.95" customHeight="1" x14ac:dyDescent="0.25">
      <c r="A226" s="242" t="s">
        <v>378</v>
      </c>
      <c r="B226" s="136" t="s">
        <v>115</v>
      </c>
      <c r="C226" s="136">
        <v>1500</v>
      </c>
      <c r="D226" s="138" t="s">
        <v>209</v>
      </c>
      <c r="E226" s="173">
        <v>44883</v>
      </c>
      <c r="F226" s="173">
        <v>44904</v>
      </c>
      <c r="G226" s="139" t="s">
        <v>340</v>
      </c>
      <c r="H226" s="139"/>
      <c r="I226" s="139"/>
      <c r="J226" s="140"/>
      <c r="K226" s="253"/>
      <c r="L226" s="240"/>
      <c r="M226" s="240"/>
    </row>
    <row r="227" spans="1:13" s="124" customFormat="1" ht="21.95" customHeight="1" x14ac:dyDescent="0.25">
      <c r="A227" s="242" t="str">
        <f>A226</f>
        <v>EM.0099</v>
      </c>
      <c r="B227" s="136" t="str">
        <f t="shared" ref="B227:C227" si="69">B226</f>
        <v>2.2</v>
      </c>
      <c r="C227" s="136">
        <f t="shared" si="69"/>
        <v>1500</v>
      </c>
      <c r="D227" s="138" t="s">
        <v>274</v>
      </c>
      <c r="E227" s="138" t="s">
        <v>275</v>
      </c>
      <c r="F227" s="138"/>
      <c r="G227" s="139" t="s">
        <v>58</v>
      </c>
      <c r="H227" s="139"/>
      <c r="I227" s="139"/>
      <c r="J227" s="140"/>
      <c r="K227" s="253"/>
      <c r="L227" s="240"/>
      <c r="M227" s="240"/>
    </row>
    <row r="228" spans="1:13" s="124" customFormat="1" ht="21.95" customHeight="1" x14ac:dyDescent="0.25">
      <c r="A228" s="242" t="s">
        <v>379</v>
      </c>
      <c r="B228" s="136" t="s">
        <v>30</v>
      </c>
      <c r="C228" s="136">
        <v>1500</v>
      </c>
      <c r="D228" s="138" t="s">
        <v>209</v>
      </c>
      <c r="E228" s="173" t="s">
        <v>639</v>
      </c>
      <c r="F228" s="173" t="s">
        <v>212</v>
      </c>
      <c r="G228" s="139" t="s">
        <v>340</v>
      </c>
      <c r="H228" s="139"/>
      <c r="I228" s="139"/>
      <c r="J228" s="140"/>
      <c r="K228" s="253"/>
      <c r="L228" s="240"/>
      <c r="M228" s="240"/>
    </row>
    <row r="229" spans="1:13" s="124" customFormat="1" ht="21.95" customHeight="1" x14ac:dyDescent="0.25">
      <c r="A229" s="242" t="s">
        <v>379</v>
      </c>
      <c r="B229" s="136" t="s">
        <v>30</v>
      </c>
      <c r="C229" s="136">
        <v>1500</v>
      </c>
      <c r="D229" s="138">
        <v>45532</v>
      </c>
      <c r="E229" s="173">
        <v>45532</v>
      </c>
      <c r="F229" s="173">
        <v>45553</v>
      </c>
      <c r="G229" s="139" t="s">
        <v>58</v>
      </c>
      <c r="H229" s="139"/>
      <c r="I229" s="139" t="s">
        <v>648</v>
      </c>
      <c r="J229" s="140"/>
      <c r="K229" s="253"/>
      <c r="L229" s="240"/>
      <c r="M229" s="240"/>
    </row>
    <row r="230" spans="1:13" s="124" customFormat="1" ht="21.95" customHeight="1" x14ac:dyDescent="0.25">
      <c r="A230" s="242" t="s">
        <v>380</v>
      </c>
      <c r="B230" s="136" t="s">
        <v>115</v>
      </c>
      <c r="C230" s="136">
        <v>1500</v>
      </c>
      <c r="D230" s="138" t="s">
        <v>381</v>
      </c>
      <c r="E230" s="138" t="s">
        <v>382</v>
      </c>
      <c r="F230" s="137"/>
      <c r="G230" s="171" t="s">
        <v>42</v>
      </c>
      <c r="H230" s="139"/>
      <c r="I230" s="139"/>
      <c r="J230" s="140"/>
      <c r="K230" s="253"/>
      <c r="L230" s="240"/>
      <c r="M230" s="240"/>
    </row>
    <row r="231" spans="1:13" s="124" customFormat="1" ht="21.95" customHeight="1" x14ac:dyDescent="0.25">
      <c r="A231" s="242" t="s">
        <v>383</v>
      </c>
      <c r="B231" s="136" t="s">
        <v>60</v>
      </c>
      <c r="C231" s="136">
        <v>1500</v>
      </c>
      <c r="D231" s="138" t="s">
        <v>384</v>
      </c>
      <c r="E231" s="138" t="s">
        <v>382</v>
      </c>
      <c r="F231" s="137"/>
      <c r="G231" s="171" t="s">
        <v>42</v>
      </c>
      <c r="H231" s="139"/>
      <c r="I231" s="139"/>
      <c r="J231" s="140"/>
      <c r="K231" s="253"/>
      <c r="L231" s="240"/>
      <c r="M231" s="240"/>
    </row>
    <row r="232" spans="1:13" s="124" customFormat="1" ht="21.95" customHeight="1" x14ac:dyDescent="0.25">
      <c r="A232" s="242" t="str">
        <f>A231</f>
        <v>EM.0102</v>
      </c>
      <c r="B232" s="136" t="str">
        <f t="shared" ref="B232:C232" si="70">B231</f>
        <v>5.5</v>
      </c>
      <c r="C232" s="136">
        <f t="shared" si="70"/>
        <v>1500</v>
      </c>
      <c r="D232" s="138" t="s">
        <v>123</v>
      </c>
      <c r="E232" s="138" t="s">
        <v>124</v>
      </c>
      <c r="F232" s="137" t="s">
        <v>385</v>
      </c>
      <c r="G232" s="139" t="s">
        <v>42</v>
      </c>
      <c r="H232" s="139"/>
      <c r="I232" s="139"/>
      <c r="J232" s="140"/>
      <c r="K232" s="253"/>
      <c r="L232" s="240"/>
      <c r="M232" s="240"/>
    </row>
    <row r="233" spans="1:13" s="124" customFormat="1" ht="21.95" customHeight="1" x14ac:dyDescent="0.25">
      <c r="A233" s="242" t="s">
        <v>386</v>
      </c>
      <c r="B233" s="136">
        <v>11</v>
      </c>
      <c r="C233" s="136">
        <v>1500</v>
      </c>
      <c r="D233" s="138" t="s">
        <v>387</v>
      </c>
      <c r="E233" s="173" t="s">
        <v>84</v>
      </c>
      <c r="F233" s="173" t="s">
        <v>232</v>
      </c>
      <c r="G233" s="171" t="s">
        <v>16</v>
      </c>
      <c r="H233" s="137">
        <v>44964</v>
      </c>
      <c r="I233" s="139"/>
      <c r="J233" s="139"/>
      <c r="K233" s="253"/>
      <c r="L233" s="240"/>
      <c r="M233" s="240"/>
    </row>
    <row r="234" spans="1:13" s="124" customFormat="1" ht="21.95" customHeight="1" x14ac:dyDescent="0.25">
      <c r="A234" s="242" t="str">
        <f>A233</f>
        <v>EM.0103</v>
      </c>
      <c r="B234" s="136">
        <f t="shared" ref="B234:C234" si="71">B233</f>
        <v>11</v>
      </c>
      <c r="C234" s="136">
        <f t="shared" si="71"/>
        <v>1500</v>
      </c>
      <c r="D234" s="138" t="s">
        <v>224</v>
      </c>
      <c r="E234" s="138" t="s">
        <v>225</v>
      </c>
      <c r="F234" s="138" t="s">
        <v>226</v>
      </c>
      <c r="G234" s="139" t="s">
        <v>58</v>
      </c>
      <c r="H234" s="139"/>
      <c r="I234" s="139"/>
      <c r="J234" s="139"/>
      <c r="K234" s="253"/>
      <c r="L234" s="240"/>
      <c r="M234" s="240"/>
    </row>
    <row r="235" spans="1:13" s="124" customFormat="1" ht="21.95" customHeight="1" x14ac:dyDescent="0.25">
      <c r="A235" s="242" t="s">
        <v>388</v>
      </c>
      <c r="B235" s="136">
        <v>11</v>
      </c>
      <c r="C235" s="136">
        <v>1500</v>
      </c>
      <c r="D235" s="138" t="s">
        <v>349</v>
      </c>
      <c r="E235" s="173" t="s">
        <v>84</v>
      </c>
      <c r="F235" s="173" t="s">
        <v>232</v>
      </c>
      <c r="G235" s="171" t="s">
        <v>16</v>
      </c>
      <c r="H235" s="139"/>
      <c r="I235" s="139"/>
      <c r="J235" s="139"/>
      <c r="K235" s="240"/>
      <c r="L235" s="240"/>
      <c r="M235" s="240"/>
    </row>
    <row r="236" spans="1:13" s="124" customFormat="1" ht="21.95" customHeight="1" x14ac:dyDescent="0.25">
      <c r="A236" s="242" t="s">
        <v>389</v>
      </c>
      <c r="B236" s="136" t="s">
        <v>144</v>
      </c>
      <c r="C236" s="136">
        <v>1500</v>
      </c>
      <c r="D236" s="138" t="s">
        <v>255</v>
      </c>
      <c r="E236" s="137" t="s">
        <v>83</v>
      </c>
      <c r="F236" s="137" t="s">
        <v>142</v>
      </c>
      <c r="G236" s="171" t="s">
        <v>16</v>
      </c>
      <c r="H236" s="139"/>
      <c r="I236" s="139"/>
      <c r="J236" s="190"/>
      <c r="K236" s="240"/>
      <c r="L236" s="240"/>
      <c r="M236" s="240"/>
    </row>
    <row r="237" spans="1:13" s="124" customFormat="1" ht="21.95" customHeight="1" x14ac:dyDescent="0.25">
      <c r="A237" s="242" t="s">
        <v>390</v>
      </c>
      <c r="B237" s="136">
        <v>4</v>
      </c>
      <c r="C237" s="136">
        <v>1500</v>
      </c>
      <c r="D237" s="137" t="s">
        <v>391</v>
      </c>
      <c r="E237" s="137" t="s">
        <v>83</v>
      </c>
      <c r="F237" s="137" t="s">
        <v>142</v>
      </c>
      <c r="G237" s="171" t="s">
        <v>16</v>
      </c>
      <c r="H237" s="139"/>
      <c r="I237" s="139" t="s">
        <v>392</v>
      </c>
      <c r="J237" s="140"/>
      <c r="K237" s="240"/>
      <c r="L237" s="240"/>
      <c r="M237" s="240"/>
    </row>
    <row r="238" spans="1:13" s="124" customFormat="1" ht="21.95" customHeight="1" x14ac:dyDescent="0.25">
      <c r="A238" s="242" t="str">
        <f>A237</f>
        <v>EM.0106</v>
      </c>
      <c r="B238" s="136">
        <f t="shared" ref="B238:C238" si="72">B237</f>
        <v>4</v>
      </c>
      <c r="C238" s="136">
        <f t="shared" si="72"/>
        <v>1500</v>
      </c>
      <c r="D238" s="137">
        <v>45296</v>
      </c>
      <c r="E238" s="137">
        <v>45306</v>
      </c>
      <c r="F238" s="137">
        <v>45321</v>
      </c>
      <c r="G238" s="171" t="s">
        <v>58</v>
      </c>
      <c r="H238" s="139"/>
      <c r="I238" s="139"/>
      <c r="J238" s="140"/>
      <c r="K238" s="240"/>
      <c r="L238" s="240"/>
      <c r="M238" s="240"/>
    </row>
    <row r="239" spans="1:13" s="124" customFormat="1" ht="21.95" customHeight="1" x14ac:dyDescent="0.25">
      <c r="A239" s="242" t="s">
        <v>393</v>
      </c>
      <c r="B239" s="136" t="s">
        <v>144</v>
      </c>
      <c r="C239" s="136">
        <v>1500</v>
      </c>
      <c r="D239" s="137" t="s">
        <v>394</v>
      </c>
      <c r="E239" s="137" t="s">
        <v>41</v>
      </c>
      <c r="F239" s="137"/>
      <c r="G239" s="139" t="s">
        <v>42</v>
      </c>
      <c r="H239" s="139"/>
      <c r="I239" s="139"/>
      <c r="J239" s="140"/>
      <c r="K239" s="240"/>
      <c r="L239" s="240"/>
      <c r="M239" s="240"/>
    </row>
    <row r="240" spans="1:13" s="124" customFormat="1" ht="21.95" customHeight="1" x14ac:dyDescent="0.25">
      <c r="A240" s="242" t="s">
        <v>395</v>
      </c>
      <c r="B240" s="136">
        <v>11</v>
      </c>
      <c r="C240" s="136">
        <v>1500</v>
      </c>
      <c r="D240" s="137" t="s">
        <v>142</v>
      </c>
      <c r="E240" s="137" t="s">
        <v>194</v>
      </c>
      <c r="F240" s="137"/>
      <c r="G240" s="139" t="s">
        <v>58</v>
      </c>
      <c r="H240" s="139"/>
      <c r="I240" s="139"/>
      <c r="J240" s="140"/>
      <c r="K240" s="240"/>
      <c r="L240" s="240"/>
      <c r="M240" s="240"/>
    </row>
    <row r="241" spans="1:13" s="124" customFormat="1" ht="21.95" customHeight="1" x14ac:dyDescent="0.25">
      <c r="A241" s="242" t="s">
        <v>396</v>
      </c>
      <c r="B241" s="136">
        <v>45</v>
      </c>
      <c r="C241" s="136">
        <v>1000</v>
      </c>
      <c r="D241" s="137" t="s">
        <v>397</v>
      </c>
      <c r="E241" s="137" t="s">
        <v>194</v>
      </c>
      <c r="F241" s="137"/>
      <c r="G241" s="139" t="s">
        <v>58</v>
      </c>
      <c r="H241" s="139"/>
      <c r="I241" s="139"/>
      <c r="J241" s="139"/>
      <c r="K241" s="240"/>
      <c r="L241" s="240"/>
      <c r="M241" s="240"/>
    </row>
    <row r="242" spans="1:13" s="124" customFormat="1" ht="21.95" customHeight="1" x14ac:dyDescent="0.25">
      <c r="A242" s="242" t="s">
        <v>398</v>
      </c>
      <c r="B242" s="136" t="s">
        <v>399</v>
      </c>
      <c r="C242" s="136">
        <v>1390</v>
      </c>
      <c r="D242" s="137" t="s">
        <v>400</v>
      </c>
      <c r="E242" s="137" t="s">
        <v>194</v>
      </c>
      <c r="F242" s="137"/>
      <c r="G242" s="139" t="s">
        <v>58</v>
      </c>
      <c r="H242" s="139"/>
      <c r="I242" s="139"/>
      <c r="J242" s="139"/>
      <c r="K242" s="240"/>
      <c r="L242" s="240"/>
      <c r="M242" s="240"/>
    </row>
    <row r="243" spans="1:13" s="124" customFormat="1" ht="21.95" customHeight="1" x14ac:dyDescent="0.25">
      <c r="A243" s="242" t="str">
        <f>A242</f>
        <v>EM.0110</v>
      </c>
      <c r="B243" s="136" t="str">
        <f t="shared" ref="B243:C243" si="73">B242</f>
        <v>0.55</v>
      </c>
      <c r="C243" s="136">
        <f t="shared" si="73"/>
        <v>1390</v>
      </c>
      <c r="D243" s="138" t="s">
        <v>401</v>
      </c>
      <c r="E243" s="138" t="s">
        <v>402</v>
      </c>
      <c r="F243" s="137" t="s">
        <v>35</v>
      </c>
      <c r="G243" s="139" t="s">
        <v>58</v>
      </c>
      <c r="H243" s="139"/>
      <c r="I243" s="139"/>
      <c r="J243" s="139"/>
      <c r="K243" s="240"/>
      <c r="L243" s="240"/>
      <c r="M243" s="240"/>
    </row>
    <row r="244" spans="1:13" s="124" customFormat="1" ht="21.95" customHeight="1" x14ac:dyDescent="0.25">
      <c r="A244" s="242" t="s">
        <v>403</v>
      </c>
      <c r="B244" s="136" t="s">
        <v>115</v>
      </c>
      <c r="C244" s="136">
        <v>1500</v>
      </c>
      <c r="D244" s="137" t="s">
        <v>194</v>
      </c>
      <c r="E244" s="137"/>
      <c r="F244" s="137"/>
      <c r="G244" s="139"/>
      <c r="H244" s="139"/>
      <c r="I244" s="139"/>
      <c r="J244" s="139"/>
      <c r="K244" s="240"/>
      <c r="L244" s="240"/>
      <c r="M244" s="240"/>
    </row>
    <row r="245" spans="1:13" s="124" customFormat="1" ht="21.95" customHeight="1" x14ac:dyDescent="0.25">
      <c r="A245" s="242" t="s">
        <v>404</v>
      </c>
      <c r="B245" s="136">
        <v>132</v>
      </c>
      <c r="C245" s="136">
        <v>3000</v>
      </c>
      <c r="D245" s="137" t="s">
        <v>405</v>
      </c>
      <c r="E245" s="137"/>
      <c r="F245" s="137"/>
      <c r="G245" s="139"/>
      <c r="H245" s="139"/>
      <c r="I245" s="139"/>
      <c r="J245" s="139"/>
      <c r="K245" s="240"/>
      <c r="L245" s="240"/>
      <c r="M245" s="240"/>
    </row>
    <row r="246" spans="1:13" s="124" customFormat="1" ht="21.95" customHeight="1" x14ac:dyDescent="0.25">
      <c r="A246" s="242" t="s">
        <v>406</v>
      </c>
      <c r="B246" s="136">
        <v>45</v>
      </c>
      <c r="C246" s="136">
        <v>3000</v>
      </c>
      <c r="D246" s="137" t="s">
        <v>405</v>
      </c>
      <c r="E246" s="137"/>
      <c r="F246" s="137"/>
      <c r="G246" s="139"/>
      <c r="H246" s="139"/>
      <c r="I246" s="145" t="s">
        <v>83</v>
      </c>
      <c r="J246" s="139"/>
      <c r="K246" s="240"/>
      <c r="L246" s="240"/>
      <c r="M246" s="240"/>
    </row>
    <row r="247" spans="1:13" s="124" customFormat="1" ht="21.95" customHeight="1" x14ac:dyDescent="0.25">
      <c r="A247" s="242" t="s">
        <v>406</v>
      </c>
      <c r="B247" s="136">
        <v>37</v>
      </c>
      <c r="C247" s="136">
        <v>3000</v>
      </c>
      <c r="D247" s="137">
        <v>45349</v>
      </c>
      <c r="E247" s="137">
        <v>45349</v>
      </c>
      <c r="F247" s="137">
        <v>45399</v>
      </c>
      <c r="G247" s="139" t="s">
        <v>58</v>
      </c>
      <c r="H247" s="139"/>
      <c r="I247" s="139" t="s">
        <v>553</v>
      </c>
      <c r="J247" s="139"/>
      <c r="K247" s="240"/>
      <c r="L247" s="240"/>
      <c r="M247" s="240"/>
    </row>
    <row r="248" spans="1:13" s="124" customFormat="1" ht="21.95" customHeight="1" x14ac:dyDescent="0.25">
      <c r="A248" s="242" t="s">
        <v>407</v>
      </c>
      <c r="B248" s="136" t="s">
        <v>399</v>
      </c>
      <c r="C248" s="136">
        <v>1390</v>
      </c>
      <c r="D248" s="137" t="s">
        <v>408</v>
      </c>
      <c r="E248" s="137"/>
      <c r="F248" s="137"/>
      <c r="G248" s="139"/>
      <c r="H248" s="139"/>
      <c r="I248" s="139"/>
      <c r="J248" s="139"/>
      <c r="K248" s="240"/>
      <c r="L248" s="240"/>
      <c r="M248" s="240"/>
    </row>
    <row r="249" spans="1:13" s="124" customFormat="1" ht="21.95" customHeight="1" x14ac:dyDescent="0.25">
      <c r="A249" s="242" t="str">
        <f>A248</f>
        <v>EM.0114</v>
      </c>
      <c r="B249" s="136" t="str">
        <f t="shared" ref="B249:C249" si="74">B248</f>
        <v>0.55</v>
      </c>
      <c r="C249" s="136">
        <f t="shared" si="74"/>
        <v>1390</v>
      </c>
      <c r="D249" s="137" t="s">
        <v>33</v>
      </c>
      <c r="E249" s="137" t="s">
        <v>34</v>
      </c>
      <c r="F249" s="137" t="s">
        <v>35</v>
      </c>
      <c r="G249" s="139" t="s">
        <v>58</v>
      </c>
      <c r="H249" s="139"/>
      <c r="I249" s="139"/>
      <c r="J249" s="139"/>
      <c r="K249" s="240"/>
      <c r="L249" s="240"/>
      <c r="M249" s="240"/>
    </row>
    <row r="250" spans="1:13" s="124" customFormat="1" ht="21.95" customHeight="1" x14ac:dyDescent="0.25">
      <c r="A250" s="242" t="s">
        <v>409</v>
      </c>
      <c r="B250" s="136" t="s">
        <v>115</v>
      </c>
      <c r="C250" s="136">
        <v>1500</v>
      </c>
      <c r="D250" s="137" t="s">
        <v>410</v>
      </c>
      <c r="E250" s="137" t="s">
        <v>411</v>
      </c>
      <c r="F250" s="137" t="s">
        <v>412</v>
      </c>
      <c r="G250" s="139" t="s">
        <v>42</v>
      </c>
      <c r="H250" s="139"/>
      <c r="I250" s="139"/>
      <c r="J250" s="139"/>
      <c r="K250" s="240"/>
      <c r="L250" s="240"/>
      <c r="M250" s="240"/>
    </row>
    <row r="251" spans="1:13" s="124" customFormat="1" ht="21.95" customHeight="1" x14ac:dyDescent="0.25">
      <c r="A251" s="242" t="s">
        <v>413</v>
      </c>
      <c r="B251" s="136">
        <v>4</v>
      </c>
      <c r="C251" s="136">
        <v>1500</v>
      </c>
      <c r="D251" s="137" t="s">
        <v>410</v>
      </c>
      <c r="E251" s="137" t="s">
        <v>411</v>
      </c>
      <c r="F251" s="137" t="s">
        <v>412</v>
      </c>
      <c r="G251" s="139" t="s">
        <v>42</v>
      </c>
      <c r="H251" s="139"/>
      <c r="I251" s="139"/>
      <c r="J251" s="139"/>
      <c r="K251" s="240"/>
      <c r="L251" s="240"/>
      <c r="M251" s="240"/>
    </row>
    <row r="252" spans="1:13" s="124" customFormat="1" ht="21.95" customHeight="1" x14ac:dyDescent="0.25">
      <c r="A252" s="242" t="s">
        <v>413</v>
      </c>
      <c r="B252" s="136">
        <v>4</v>
      </c>
      <c r="C252" s="136">
        <v>1500</v>
      </c>
      <c r="D252" s="137">
        <v>45495</v>
      </c>
      <c r="E252" s="137">
        <v>45495</v>
      </c>
      <c r="F252" s="137">
        <v>45532</v>
      </c>
      <c r="G252" s="139" t="s">
        <v>58</v>
      </c>
      <c r="H252" s="139"/>
      <c r="I252" s="139" t="s">
        <v>644</v>
      </c>
      <c r="J252" s="139"/>
      <c r="K252" s="240"/>
      <c r="L252" s="240"/>
      <c r="M252" s="240"/>
    </row>
    <row r="253" spans="1:13" s="124" customFormat="1" ht="21.95" customHeight="1" x14ac:dyDescent="0.25">
      <c r="A253" s="242" t="s">
        <v>414</v>
      </c>
      <c r="B253" s="136">
        <v>4</v>
      </c>
      <c r="C253" s="136">
        <v>1500</v>
      </c>
      <c r="D253" s="137" t="s">
        <v>410</v>
      </c>
      <c r="E253" s="137" t="s">
        <v>411</v>
      </c>
      <c r="F253" s="137" t="s">
        <v>412</v>
      </c>
      <c r="G253" s="139" t="s">
        <v>42</v>
      </c>
      <c r="H253" s="139"/>
      <c r="I253" s="139"/>
      <c r="J253" s="139"/>
      <c r="K253" s="240"/>
      <c r="L253" s="240"/>
      <c r="M253" s="240"/>
    </row>
    <row r="254" spans="1:13" s="124" customFormat="1" ht="21.95" customHeight="1" x14ac:dyDescent="0.25">
      <c r="A254" s="242" t="s">
        <v>414</v>
      </c>
      <c r="B254" s="136">
        <v>4</v>
      </c>
      <c r="C254" s="136">
        <v>1500</v>
      </c>
      <c r="D254" s="137">
        <v>45674</v>
      </c>
      <c r="E254" s="137">
        <v>45674</v>
      </c>
      <c r="F254" s="137">
        <v>45708</v>
      </c>
      <c r="G254" s="139" t="s">
        <v>58</v>
      </c>
      <c r="H254" s="139"/>
      <c r="I254" s="199" t="s">
        <v>675</v>
      </c>
      <c r="J254" s="139"/>
      <c r="K254" s="240"/>
      <c r="L254" s="240"/>
      <c r="M254" s="240"/>
    </row>
    <row r="255" spans="1:13" s="124" customFormat="1" ht="21.95" customHeight="1" x14ac:dyDescent="0.25">
      <c r="A255" s="242" t="s">
        <v>414</v>
      </c>
      <c r="B255" s="136">
        <v>11</v>
      </c>
      <c r="C255" s="136">
        <v>3000</v>
      </c>
      <c r="D255" s="137"/>
      <c r="E255" s="137">
        <v>45708</v>
      </c>
      <c r="F255" s="137">
        <v>45740</v>
      </c>
      <c r="G255" s="139" t="s">
        <v>58</v>
      </c>
      <c r="H255" s="139"/>
      <c r="I255" s="235" t="s">
        <v>688</v>
      </c>
      <c r="J255" s="139"/>
      <c r="K255" s="240"/>
      <c r="L255" s="240"/>
      <c r="M255" s="240"/>
    </row>
    <row r="256" spans="1:13" s="124" customFormat="1" ht="21.95" customHeight="1" x14ac:dyDescent="0.25">
      <c r="A256" s="242" t="s">
        <v>415</v>
      </c>
      <c r="B256" s="136">
        <v>4</v>
      </c>
      <c r="C256" s="136">
        <v>1500</v>
      </c>
      <c r="D256" s="137">
        <v>45588</v>
      </c>
      <c r="E256" s="137">
        <v>45588</v>
      </c>
      <c r="F256" s="137">
        <v>45614</v>
      </c>
      <c r="G256" s="139" t="s">
        <v>58</v>
      </c>
      <c r="H256" s="139"/>
      <c r="I256" s="139"/>
      <c r="J256" s="139"/>
      <c r="K256" s="240"/>
      <c r="L256" s="240"/>
      <c r="M256" s="240"/>
    </row>
    <row r="257" spans="1:13" s="124" customFormat="1" ht="21.95" customHeight="1" x14ac:dyDescent="0.25">
      <c r="A257" s="242" t="s">
        <v>415</v>
      </c>
      <c r="B257" s="136">
        <v>4</v>
      </c>
      <c r="C257" s="136">
        <v>1500</v>
      </c>
      <c r="D257" s="137" t="s">
        <v>410</v>
      </c>
      <c r="E257" s="137" t="s">
        <v>411</v>
      </c>
      <c r="F257" s="137" t="s">
        <v>412</v>
      </c>
      <c r="G257" s="139" t="s">
        <v>42</v>
      </c>
      <c r="H257" s="139"/>
      <c r="I257" s="139"/>
      <c r="J257" s="139"/>
      <c r="K257" s="240"/>
      <c r="L257" s="240"/>
      <c r="M257" s="240"/>
    </row>
    <row r="258" spans="1:13" s="124" customFormat="1" ht="21.95" customHeight="1" x14ac:dyDescent="0.25">
      <c r="A258" s="242" t="str">
        <f>A257</f>
        <v>EM.0118</v>
      </c>
      <c r="B258" s="136">
        <f t="shared" ref="B258:C258" si="75">B257</f>
        <v>4</v>
      </c>
      <c r="C258" s="136">
        <f t="shared" si="75"/>
        <v>1500</v>
      </c>
      <c r="D258" s="138" t="s">
        <v>416</v>
      </c>
      <c r="E258" s="138" t="s">
        <v>417</v>
      </c>
      <c r="F258" s="138" t="s">
        <v>402</v>
      </c>
      <c r="G258" s="139" t="s">
        <v>58</v>
      </c>
      <c r="H258" s="139"/>
      <c r="I258" s="139"/>
      <c r="J258" s="139"/>
      <c r="K258" s="240"/>
      <c r="L258" s="240"/>
      <c r="M258" s="240"/>
    </row>
    <row r="259" spans="1:13" s="124" customFormat="1" ht="21.95" customHeight="1" x14ac:dyDescent="0.25">
      <c r="A259" s="242" t="s">
        <v>418</v>
      </c>
      <c r="B259" s="136" t="s">
        <v>419</v>
      </c>
      <c r="C259" s="136">
        <v>1500</v>
      </c>
      <c r="D259" s="137" t="s">
        <v>410</v>
      </c>
      <c r="E259" s="137" t="s">
        <v>411</v>
      </c>
      <c r="F259" s="137" t="s">
        <v>412</v>
      </c>
      <c r="G259" s="139" t="s">
        <v>42</v>
      </c>
      <c r="H259" s="139"/>
      <c r="I259" s="139"/>
      <c r="J259" s="139"/>
      <c r="K259" s="240"/>
      <c r="L259" s="240"/>
      <c r="M259" s="240"/>
    </row>
    <row r="260" spans="1:13" s="124" customFormat="1" ht="21.95" customHeight="1" x14ac:dyDescent="0.25">
      <c r="A260" s="242" t="s">
        <v>420</v>
      </c>
      <c r="B260" s="136">
        <v>200</v>
      </c>
      <c r="C260" s="136">
        <v>3000</v>
      </c>
      <c r="D260" s="137" t="s">
        <v>421</v>
      </c>
      <c r="E260" s="137" t="s">
        <v>421</v>
      </c>
      <c r="F260" s="137" t="s">
        <v>422</v>
      </c>
      <c r="G260" s="139" t="s">
        <v>42</v>
      </c>
      <c r="H260" s="139" t="s">
        <v>422</v>
      </c>
      <c r="I260" s="139"/>
      <c r="J260" s="139"/>
      <c r="K260" s="240"/>
      <c r="L260" s="240"/>
      <c r="M260" s="240"/>
    </row>
    <row r="261" spans="1:13" s="124" customFormat="1" ht="21.95" customHeight="1" x14ac:dyDescent="0.25">
      <c r="A261" s="242" t="s">
        <v>423</v>
      </c>
      <c r="B261" s="136" t="s">
        <v>60</v>
      </c>
      <c r="C261" s="136">
        <v>1500</v>
      </c>
      <c r="D261" s="137">
        <v>45726</v>
      </c>
      <c r="E261" s="138">
        <v>45769</v>
      </c>
      <c r="F261" s="138">
        <v>45800</v>
      </c>
      <c r="G261" s="139" t="s">
        <v>58</v>
      </c>
      <c r="H261" s="139"/>
      <c r="I261" s="139" t="s">
        <v>870</v>
      </c>
      <c r="J261" s="139"/>
      <c r="K261" s="240"/>
      <c r="L261" s="240"/>
      <c r="M261" s="240"/>
    </row>
    <row r="262" spans="1:13" s="124" customFormat="1" ht="21.95" customHeight="1" x14ac:dyDescent="0.25">
      <c r="A262" s="242" t="s">
        <v>423</v>
      </c>
      <c r="B262" s="136" t="s">
        <v>60</v>
      </c>
      <c r="C262" s="136">
        <v>1500</v>
      </c>
      <c r="D262" s="137" t="s">
        <v>123</v>
      </c>
      <c r="E262" s="137" t="s">
        <v>124</v>
      </c>
      <c r="F262" s="137" t="s">
        <v>385</v>
      </c>
      <c r="G262" s="139" t="s">
        <v>42</v>
      </c>
      <c r="H262" s="139"/>
      <c r="I262" s="139" t="s">
        <v>424</v>
      </c>
      <c r="J262" s="139"/>
      <c r="K262" s="240"/>
      <c r="L262" s="240"/>
      <c r="M262" s="240"/>
    </row>
    <row r="263" spans="1:13" s="124" customFormat="1" ht="21.95" customHeight="1" x14ac:dyDescent="0.25">
      <c r="A263" s="242" t="s">
        <v>425</v>
      </c>
      <c r="B263" s="136" t="s">
        <v>30</v>
      </c>
      <c r="C263" s="136">
        <v>1500</v>
      </c>
      <c r="D263" s="137" t="s">
        <v>123</v>
      </c>
      <c r="E263" s="137" t="s">
        <v>124</v>
      </c>
      <c r="F263" s="137" t="s">
        <v>385</v>
      </c>
      <c r="G263" s="139" t="s">
        <v>42</v>
      </c>
      <c r="H263" s="139"/>
      <c r="I263" s="139" t="s">
        <v>426</v>
      </c>
      <c r="J263" s="139"/>
      <c r="K263" s="240"/>
      <c r="L263" s="240"/>
      <c r="M263" s="240"/>
    </row>
    <row r="264" spans="1:13" s="124" customFormat="1" ht="21.95" customHeight="1" x14ac:dyDescent="0.25">
      <c r="A264" s="242" t="s">
        <v>427</v>
      </c>
      <c r="B264" s="136">
        <v>15</v>
      </c>
      <c r="C264" s="136">
        <v>1500</v>
      </c>
      <c r="D264" s="137" t="s">
        <v>123</v>
      </c>
      <c r="E264" s="137" t="s">
        <v>124</v>
      </c>
      <c r="F264" s="137"/>
      <c r="G264" s="139" t="s">
        <v>42</v>
      </c>
      <c r="H264" s="139"/>
      <c r="I264" s="139"/>
      <c r="J264" s="139"/>
      <c r="K264" s="240"/>
      <c r="L264" s="240"/>
      <c r="M264" s="240"/>
    </row>
    <row r="265" spans="1:13" s="124" customFormat="1" ht="21.95" customHeight="1" x14ac:dyDescent="0.25">
      <c r="A265" s="242" t="s">
        <v>428</v>
      </c>
      <c r="B265" s="136" t="s">
        <v>60</v>
      </c>
      <c r="C265" s="136">
        <v>1500</v>
      </c>
      <c r="D265" s="137" t="s">
        <v>123</v>
      </c>
      <c r="E265" s="137" t="s">
        <v>124</v>
      </c>
      <c r="F265" s="137" t="s">
        <v>385</v>
      </c>
      <c r="G265" s="139" t="s">
        <v>42</v>
      </c>
      <c r="H265" s="139"/>
      <c r="I265" s="139" t="s">
        <v>429</v>
      </c>
      <c r="J265" s="139"/>
      <c r="K265" s="240"/>
      <c r="L265" s="240"/>
      <c r="M265" s="240"/>
    </row>
    <row r="266" spans="1:13" s="124" customFormat="1" ht="21.95" customHeight="1" x14ac:dyDescent="0.25">
      <c r="A266" s="242" t="s">
        <v>430</v>
      </c>
      <c r="B266" s="136">
        <v>45</v>
      </c>
      <c r="C266" s="136">
        <v>1500</v>
      </c>
      <c r="D266" s="137" t="s">
        <v>123</v>
      </c>
      <c r="E266" s="137" t="s">
        <v>124</v>
      </c>
      <c r="F266" s="137" t="s">
        <v>385</v>
      </c>
      <c r="G266" s="139" t="s">
        <v>42</v>
      </c>
      <c r="H266" s="139"/>
      <c r="I266" s="139" t="s">
        <v>431</v>
      </c>
      <c r="J266" s="139"/>
      <c r="K266" s="240"/>
      <c r="L266" s="240"/>
      <c r="M266" s="240"/>
    </row>
    <row r="267" spans="1:13" s="124" customFormat="1" ht="21.95" customHeight="1" x14ac:dyDescent="0.25">
      <c r="A267" s="242" t="s">
        <v>157</v>
      </c>
      <c r="B267" s="136">
        <v>37</v>
      </c>
      <c r="C267" s="136">
        <v>1500</v>
      </c>
      <c r="D267" s="137">
        <v>45451</v>
      </c>
      <c r="E267" s="137">
        <v>45451</v>
      </c>
      <c r="F267" s="137">
        <v>45475</v>
      </c>
      <c r="G267" s="139" t="s">
        <v>58</v>
      </c>
      <c r="H267" s="139"/>
      <c r="I267" s="139"/>
      <c r="J267" s="139"/>
      <c r="K267" s="240"/>
      <c r="L267" s="240"/>
      <c r="M267" s="240"/>
    </row>
    <row r="268" spans="1:13" s="124" customFormat="1" ht="21.95" customHeight="1" x14ac:dyDescent="0.25">
      <c r="A268" s="242" t="s">
        <v>432</v>
      </c>
      <c r="B268" s="136">
        <v>90</v>
      </c>
      <c r="C268" s="136">
        <v>3000</v>
      </c>
      <c r="D268" s="137" t="s">
        <v>274</v>
      </c>
      <c r="E268" s="137" t="s">
        <v>275</v>
      </c>
      <c r="F268" s="137"/>
      <c r="G268" s="254" t="s">
        <v>58</v>
      </c>
      <c r="H268" s="139"/>
      <c r="I268" s="139"/>
      <c r="J268" s="139"/>
      <c r="K268" s="240"/>
      <c r="L268" s="240"/>
      <c r="M268" s="240"/>
    </row>
    <row r="269" spans="1:13" s="124" customFormat="1" ht="21.95" customHeight="1" x14ac:dyDescent="0.25">
      <c r="A269" s="242" t="s">
        <v>433</v>
      </c>
      <c r="B269" s="136" t="s">
        <v>115</v>
      </c>
      <c r="C269" s="136">
        <v>1500</v>
      </c>
      <c r="D269" s="137" t="s">
        <v>274</v>
      </c>
      <c r="E269" s="137" t="s">
        <v>275</v>
      </c>
      <c r="F269" s="137"/>
      <c r="G269" s="139" t="s">
        <v>58</v>
      </c>
      <c r="H269" s="139"/>
      <c r="I269" s="139"/>
      <c r="J269" s="139"/>
      <c r="K269" s="240"/>
      <c r="L269" s="240"/>
      <c r="M269" s="240"/>
    </row>
    <row r="270" spans="1:13" s="124" customFormat="1" ht="21.95" customHeight="1" x14ac:dyDescent="0.25">
      <c r="A270" s="242" t="s">
        <v>434</v>
      </c>
      <c r="B270" s="136" t="s">
        <v>435</v>
      </c>
      <c r="C270" s="136">
        <v>1500</v>
      </c>
      <c r="D270" s="137" t="s">
        <v>436</v>
      </c>
      <c r="E270" s="137" t="s">
        <v>437</v>
      </c>
      <c r="F270" s="137" t="s">
        <v>225</v>
      </c>
      <c r="G270" s="139" t="s">
        <v>58</v>
      </c>
      <c r="H270" s="139"/>
      <c r="I270" s="139"/>
      <c r="J270" s="139"/>
      <c r="K270" s="240"/>
      <c r="L270" s="240"/>
      <c r="M270" s="240"/>
    </row>
    <row r="271" spans="1:13" s="124" customFormat="1" ht="21.95" customHeight="1" x14ac:dyDescent="0.25">
      <c r="A271" s="242" t="s">
        <v>434</v>
      </c>
      <c r="B271" s="136" t="s">
        <v>435</v>
      </c>
      <c r="C271" s="136">
        <v>1500</v>
      </c>
      <c r="D271" s="137" t="s">
        <v>83</v>
      </c>
      <c r="E271" s="137">
        <v>45674</v>
      </c>
      <c r="F271" s="137">
        <v>45708</v>
      </c>
      <c r="G271" s="139" t="s">
        <v>58</v>
      </c>
      <c r="H271" s="139"/>
      <c r="I271" s="199" t="s">
        <v>679</v>
      </c>
      <c r="J271" s="139"/>
      <c r="K271" s="240"/>
      <c r="L271" s="240"/>
      <c r="M271" s="240"/>
    </row>
    <row r="272" spans="1:13" s="124" customFormat="1" ht="21.95" customHeight="1" x14ac:dyDescent="0.25">
      <c r="A272" s="242" t="s">
        <v>438</v>
      </c>
      <c r="B272" s="136" t="s">
        <v>435</v>
      </c>
      <c r="C272" s="136">
        <v>1500</v>
      </c>
      <c r="D272" s="137" t="s">
        <v>436</v>
      </c>
      <c r="E272" s="137" t="s">
        <v>437</v>
      </c>
      <c r="F272" s="137" t="s">
        <v>225</v>
      </c>
      <c r="G272" s="139" t="s">
        <v>58</v>
      </c>
      <c r="H272" s="139"/>
      <c r="I272" s="139"/>
      <c r="J272" s="139"/>
      <c r="K272" s="240"/>
      <c r="L272" s="240"/>
      <c r="M272" s="240"/>
    </row>
    <row r="273" spans="1:13" s="124" customFormat="1" ht="21.95" customHeight="1" x14ac:dyDescent="0.25">
      <c r="A273" s="242" t="str">
        <f>A272</f>
        <v>EM.0129</v>
      </c>
      <c r="B273" s="136" t="str">
        <f t="shared" ref="B273:C273" si="76">B272</f>
        <v>0.75</v>
      </c>
      <c r="C273" s="136">
        <f t="shared" si="76"/>
        <v>1500</v>
      </c>
      <c r="D273" s="137" t="s">
        <v>86</v>
      </c>
      <c r="E273" s="137" t="s">
        <v>87</v>
      </c>
      <c r="F273" s="137" t="s">
        <v>225</v>
      </c>
      <c r="G273" s="139" t="s">
        <v>58</v>
      </c>
      <c r="H273" s="139"/>
      <c r="I273" s="139"/>
      <c r="J273" s="139"/>
      <c r="K273" s="240"/>
      <c r="L273" s="240"/>
      <c r="M273" s="240"/>
    </row>
    <row r="274" spans="1:13" s="124" customFormat="1" ht="21.95" customHeight="1" x14ac:dyDescent="0.25">
      <c r="A274" s="242" t="s">
        <v>439</v>
      </c>
      <c r="B274" s="136">
        <v>11</v>
      </c>
      <c r="C274" s="136">
        <v>1500</v>
      </c>
      <c r="D274" s="137" t="s">
        <v>436</v>
      </c>
      <c r="E274" s="137" t="s">
        <v>437</v>
      </c>
      <c r="F274" s="137" t="s">
        <v>225</v>
      </c>
      <c r="G274" s="139" t="s">
        <v>58</v>
      </c>
      <c r="H274" s="139"/>
      <c r="I274" s="139"/>
      <c r="J274" s="139"/>
      <c r="K274" s="240"/>
      <c r="L274" s="240"/>
      <c r="M274" s="240"/>
    </row>
    <row r="275" spans="1:13" s="124" customFormat="1" ht="21.95" customHeight="1" x14ac:dyDescent="0.25">
      <c r="A275" s="242" t="s">
        <v>440</v>
      </c>
      <c r="B275" s="136">
        <v>11</v>
      </c>
      <c r="C275" s="136">
        <v>3000</v>
      </c>
      <c r="D275" s="137" t="s">
        <v>436</v>
      </c>
      <c r="E275" s="137" t="s">
        <v>437</v>
      </c>
      <c r="F275" s="137" t="s">
        <v>225</v>
      </c>
      <c r="G275" s="139" t="s">
        <v>58</v>
      </c>
      <c r="H275" s="139"/>
      <c r="I275" s="139"/>
      <c r="J275" s="139"/>
      <c r="K275" s="240"/>
      <c r="L275" s="240"/>
      <c r="M275" s="240"/>
    </row>
    <row r="276" spans="1:13" s="124" customFormat="1" ht="21.95" customHeight="1" x14ac:dyDescent="0.25">
      <c r="A276" s="242" t="s">
        <v>441</v>
      </c>
      <c r="B276" s="136">
        <v>4</v>
      </c>
      <c r="C276" s="136">
        <v>1500</v>
      </c>
      <c r="D276" s="137" t="s">
        <v>436</v>
      </c>
      <c r="E276" s="137" t="s">
        <v>437</v>
      </c>
      <c r="F276" s="137" t="s">
        <v>225</v>
      </c>
      <c r="G276" s="139" t="s">
        <v>58</v>
      </c>
      <c r="H276" s="139"/>
      <c r="I276" s="139"/>
      <c r="J276" s="139"/>
      <c r="K276" s="240"/>
      <c r="L276" s="240"/>
      <c r="M276" s="240"/>
    </row>
    <row r="277" spans="1:13" s="124" customFormat="1" ht="21.95" customHeight="1" x14ac:dyDescent="0.25">
      <c r="A277" s="242" t="s">
        <v>442</v>
      </c>
      <c r="B277" s="136" t="s">
        <v>144</v>
      </c>
      <c r="C277" s="136">
        <v>1000</v>
      </c>
      <c r="D277" s="137" t="s">
        <v>436</v>
      </c>
      <c r="E277" s="137" t="s">
        <v>437</v>
      </c>
      <c r="F277" s="137" t="s">
        <v>225</v>
      </c>
      <c r="G277" s="139" t="s">
        <v>58</v>
      </c>
      <c r="H277" s="139"/>
      <c r="I277" s="139"/>
      <c r="J277" s="139"/>
      <c r="K277" s="240"/>
      <c r="L277" s="240"/>
      <c r="M277" s="240"/>
    </row>
    <row r="278" spans="1:13" s="124" customFormat="1" ht="21.95" customHeight="1" x14ac:dyDescent="0.25">
      <c r="A278" s="242" t="s">
        <v>443</v>
      </c>
      <c r="B278" s="136" t="s">
        <v>444</v>
      </c>
      <c r="C278" s="136">
        <v>1350</v>
      </c>
      <c r="D278" s="137" t="s">
        <v>436</v>
      </c>
      <c r="E278" s="137" t="s">
        <v>437</v>
      </c>
      <c r="F278" s="137" t="s">
        <v>225</v>
      </c>
      <c r="G278" s="139" t="s">
        <v>58</v>
      </c>
      <c r="H278" s="139"/>
      <c r="I278" s="139"/>
      <c r="J278" s="139"/>
      <c r="K278" s="240"/>
      <c r="L278" s="240"/>
      <c r="M278" s="240"/>
    </row>
    <row r="279" spans="1:13" s="124" customFormat="1" ht="21.95" customHeight="1" x14ac:dyDescent="0.25">
      <c r="A279" s="242" t="s">
        <v>445</v>
      </c>
      <c r="B279" s="136" t="s">
        <v>444</v>
      </c>
      <c r="C279" s="136">
        <v>1350</v>
      </c>
      <c r="D279" s="137" t="s">
        <v>436</v>
      </c>
      <c r="E279" s="137" t="s">
        <v>437</v>
      </c>
      <c r="F279" s="137" t="s">
        <v>225</v>
      </c>
      <c r="G279" s="139" t="s">
        <v>58</v>
      </c>
      <c r="H279" s="139"/>
      <c r="I279" s="139"/>
      <c r="J279" s="139"/>
      <c r="K279" s="240"/>
      <c r="L279" s="240"/>
      <c r="M279" s="240"/>
    </row>
    <row r="280" spans="1:13" s="124" customFormat="1" ht="21.95" customHeight="1" x14ac:dyDescent="0.25">
      <c r="A280" s="242" t="s">
        <v>446</v>
      </c>
      <c r="B280" s="136" t="s">
        <v>115</v>
      </c>
      <c r="C280" s="136">
        <v>1500</v>
      </c>
      <c r="D280" s="137" t="s">
        <v>436</v>
      </c>
      <c r="E280" s="137" t="s">
        <v>437</v>
      </c>
      <c r="F280" s="137" t="s">
        <v>225</v>
      </c>
      <c r="G280" s="139" t="s">
        <v>58</v>
      </c>
      <c r="H280" s="139"/>
      <c r="I280" s="139"/>
      <c r="J280" s="139"/>
      <c r="K280" s="240"/>
      <c r="L280" s="240"/>
      <c r="M280" s="240"/>
    </row>
    <row r="281" spans="1:13" s="124" customFormat="1" ht="21.95" customHeight="1" x14ac:dyDescent="0.25">
      <c r="A281" s="242" t="s">
        <v>447</v>
      </c>
      <c r="B281" s="136" t="s">
        <v>448</v>
      </c>
      <c r="C281" s="136">
        <v>3000</v>
      </c>
      <c r="D281" s="137" t="s">
        <v>182</v>
      </c>
      <c r="E281" s="137" t="s">
        <v>182</v>
      </c>
      <c r="F281" s="137" t="s">
        <v>183</v>
      </c>
      <c r="G281" s="139" t="s">
        <v>42</v>
      </c>
      <c r="H281" s="139"/>
      <c r="I281" s="139"/>
      <c r="J281" s="139"/>
      <c r="K281" s="240"/>
      <c r="L281" s="240"/>
      <c r="M281" s="240"/>
    </row>
    <row r="282" spans="1:13" s="124" customFormat="1" ht="21.95" customHeight="1" x14ac:dyDescent="0.25">
      <c r="A282" s="242" t="s">
        <v>449</v>
      </c>
      <c r="B282" s="136" t="s">
        <v>60</v>
      </c>
      <c r="C282" s="136">
        <v>1500</v>
      </c>
      <c r="D282" s="137" t="s">
        <v>224</v>
      </c>
      <c r="E282" s="137" t="s">
        <v>225</v>
      </c>
      <c r="F282" s="137" t="s">
        <v>226</v>
      </c>
      <c r="G282" s="139" t="s">
        <v>58</v>
      </c>
      <c r="H282" s="139"/>
      <c r="I282" s="139"/>
      <c r="J282" s="139"/>
      <c r="K282" s="240"/>
      <c r="L282" s="240"/>
      <c r="M282" s="240"/>
    </row>
    <row r="283" spans="1:13" s="124" customFormat="1" ht="21.95" customHeight="1" x14ac:dyDescent="0.25">
      <c r="A283" s="242" t="s">
        <v>450</v>
      </c>
      <c r="B283" s="136" t="s">
        <v>115</v>
      </c>
      <c r="C283" s="136">
        <v>1500</v>
      </c>
      <c r="D283" s="138" t="s">
        <v>55</v>
      </c>
      <c r="E283" s="138" t="s">
        <v>56</v>
      </c>
      <c r="F283" s="138" t="s">
        <v>57</v>
      </c>
      <c r="G283" s="139" t="s">
        <v>58</v>
      </c>
      <c r="H283" s="139"/>
      <c r="I283" s="139"/>
      <c r="J283" s="255" t="s">
        <v>451</v>
      </c>
      <c r="K283" s="240"/>
      <c r="L283" s="240"/>
      <c r="M283" s="240"/>
    </row>
    <row r="284" spans="1:13" s="124" customFormat="1" ht="21.95" customHeight="1" x14ac:dyDescent="0.25">
      <c r="A284" s="242" t="s">
        <v>452</v>
      </c>
      <c r="B284" s="136">
        <v>4</v>
      </c>
      <c r="C284" s="136">
        <v>1500</v>
      </c>
      <c r="D284" s="137" t="s">
        <v>171</v>
      </c>
      <c r="E284" s="137" t="s">
        <v>172</v>
      </c>
      <c r="F284" s="138" t="s">
        <v>173</v>
      </c>
      <c r="G284" s="139" t="s">
        <v>58</v>
      </c>
      <c r="H284" s="139"/>
      <c r="I284" s="139"/>
      <c r="J284" s="139"/>
      <c r="K284" s="240"/>
      <c r="L284" s="240"/>
      <c r="M284" s="240"/>
    </row>
    <row r="285" spans="1:13" s="124" customFormat="1" ht="21.95" customHeight="1" x14ac:dyDescent="0.25">
      <c r="A285" s="242" t="s">
        <v>452</v>
      </c>
      <c r="B285" s="136">
        <v>4</v>
      </c>
      <c r="C285" s="136">
        <v>1500</v>
      </c>
      <c r="D285" s="137">
        <v>45674</v>
      </c>
      <c r="E285" s="137">
        <v>45674</v>
      </c>
      <c r="F285" s="138">
        <v>45708</v>
      </c>
      <c r="G285" s="139" t="s">
        <v>58</v>
      </c>
      <c r="H285" s="139"/>
      <c r="I285" s="199" t="s">
        <v>677</v>
      </c>
      <c r="J285" s="139"/>
      <c r="K285" s="240"/>
      <c r="L285" s="240"/>
      <c r="M285" s="240"/>
    </row>
    <row r="286" spans="1:13" s="124" customFormat="1" ht="21.95" customHeight="1" x14ac:dyDescent="0.25">
      <c r="A286" s="242" t="s">
        <v>453</v>
      </c>
      <c r="B286" s="136" t="s">
        <v>419</v>
      </c>
      <c r="C286" s="136">
        <v>1500</v>
      </c>
      <c r="D286" s="138" t="s">
        <v>454</v>
      </c>
      <c r="E286" s="138" t="s">
        <v>454</v>
      </c>
      <c r="F286" s="137">
        <v>45245</v>
      </c>
      <c r="G286" s="139" t="s">
        <v>58</v>
      </c>
      <c r="H286" s="139"/>
      <c r="I286" s="139" t="s">
        <v>651</v>
      </c>
      <c r="J286" s="139"/>
      <c r="K286" s="240"/>
      <c r="L286" s="240"/>
      <c r="M286" s="240"/>
    </row>
    <row r="287" spans="1:13" s="124" customFormat="1" ht="21.95" customHeight="1" x14ac:dyDescent="0.25">
      <c r="A287" s="242" t="s">
        <v>453</v>
      </c>
      <c r="B287" s="136" t="s">
        <v>419</v>
      </c>
      <c r="C287" s="136">
        <v>1500</v>
      </c>
      <c r="D287" s="138">
        <v>45532</v>
      </c>
      <c r="E287" s="138">
        <v>45532</v>
      </c>
      <c r="F287" s="137">
        <v>45553</v>
      </c>
      <c r="G287" s="139" t="s">
        <v>58</v>
      </c>
      <c r="H287" s="139"/>
      <c r="I287" s="139" t="s">
        <v>651</v>
      </c>
      <c r="J287" s="139"/>
      <c r="K287" s="240"/>
      <c r="L287" s="240"/>
      <c r="M287" s="240"/>
    </row>
    <row r="288" spans="1:13" s="124" customFormat="1" ht="21.95" customHeight="1" x14ac:dyDescent="0.25">
      <c r="A288" s="242" t="s">
        <v>456</v>
      </c>
      <c r="B288" s="136" t="s">
        <v>435</v>
      </c>
      <c r="C288" s="136">
        <v>1500</v>
      </c>
      <c r="D288" s="138" t="s">
        <v>454</v>
      </c>
      <c r="E288" s="138" t="s">
        <v>454</v>
      </c>
      <c r="F288" s="137">
        <v>45245</v>
      </c>
      <c r="G288" s="139" t="s">
        <v>58</v>
      </c>
      <c r="H288" s="139"/>
      <c r="I288" s="139"/>
      <c r="J288" s="139"/>
      <c r="K288" s="240"/>
      <c r="L288" s="240"/>
      <c r="M288" s="240"/>
    </row>
    <row r="289" spans="1:13" s="124" customFormat="1" ht="21.95" customHeight="1" x14ac:dyDescent="0.25">
      <c r="A289" s="242" t="s">
        <v>457</v>
      </c>
      <c r="B289" s="136">
        <v>4</v>
      </c>
      <c r="C289" s="136">
        <v>1500</v>
      </c>
      <c r="D289" s="138" t="s">
        <v>454</v>
      </c>
      <c r="E289" s="138" t="s">
        <v>454</v>
      </c>
      <c r="F289" s="137">
        <v>45245</v>
      </c>
      <c r="G289" s="139" t="s">
        <v>58</v>
      </c>
      <c r="H289" s="139"/>
      <c r="I289" s="139"/>
      <c r="J289" s="139"/>
      <c r="K289" s="240"/>
      <c r="L289" s="240"/>
      <c r="M289" s="240"/>
    </row>
    <row r="290" spans="1:13" s="124" customFormat="1" ht="21.95" customHeight="1" x14ac:dyDescent="0.25">
      <c r="A290" s="242" t="s">
        <v>457</v>
      </c>
      <c r="B290" s="136">
        <v>4</v>
      </c>
      <c r="C290" s="136">
        <v>1500</v>
      </c>
      <c r="D290" s="138">
        <v>45532</v>
      </c>
      <c r="E290" s="137">
        <v>45532</v>
      </c>
      <c r="F290" s="137">
        <v>45553</v>
      </c>
      <c r="G290" s="139" t="s">
        <v>58</v>
      </c>
      <c r="H290" s="139"/>
      <c r="I290" s="139"/>
      <c r="J290" s="139"/>
      <c r="K290" s="240"/>
      <c r="L290" s="240"/>
      <c r="M290" s="240"/>
    </row>
    <row r="291" spans="1:13" s="124" customFormat="1" ht="21.95" customHeight="1" x14ac:dyDescent="0.25">
      <c r="A291" s="242" t="s">
        <v>458</v>
      </c>
      <c r="B291" s="136">
        <v>11</v>
      </c>
      <c r="C291" s="136">
        <v>1500</v>
      </c>
      <c r="D291" s="138" t="s">
        <v>454</v>
      </c>
      <c r="E291" s="137" t="s">
        <v>455</v>
      </c>
      <c r="F291" s="137"/>
      <c r="G291" s="139"/>
      <c r="H291" s="139"/>
      <c r="I291" s="139"/>
      <c r="J291" s="139"/>
      <c r="K291" s="240"/>
      <c r="L291" s="240"/>
      <c r="M291" s="240"/>
    </row>
    <row r="292" spans="1:13" s="124" customFormat="1" ht="21.95" customHeight="1" x14ac:dyDescent="0.25">
      <c r="A292" s="242" t="s">
        <v>459</v>
      </c>
      <c r="B292" s="136" t="s">
        <v>115</v>
      </c>
      <c r="C292" s="136">
        <v>1500</v>
      </c>
      <c r="D292" s="137" t="s">
        <v>86</v>
      </c>
      <c r="E292" s="137" t="s">
        <v>87</v>
      </c>
      <c r="F292" s="137"/>
      <c r="G292" s="139" t="s">
        <v>58</v>
      </c>
      <c r="H292" s="139"/>
      <c r="I292" s="139"/>
      <c r="J292" s="139"/>
      <c r="K292" s="240"/>
      <c r="L292" s="240"/>
      <c r="M292" s="240"/>
    </row>
    <row r="293" spans="1:13" s="124" customFormat="1" ht="21.95" customHeight="1" x14ac:dyDescent="0.25">
      <c r="A293" s="242" t="s">
        <v>460</v>
      </c>
      <c r="B293" s="136" t="s">
        <v>115</v>
      </c>
      <c r="C293" s="136">
        <v>1500</v>
      </c>
      <c r="D293" s="137" t="s">
        <v>86</v>
      </c>
      <c r="E293" s="137" t="s">
        <v>87</v>
      </c>
      <c r="F293" s="137"/>
      <c r="G293" s="139" t="s">
        <v>58</v>
      </c>
      <c r="H293" s="139"/>
      <c r="I293" s="139"/>
      <c r="J293" s="139"/>
      <c r="K293" s="240"/>
      <c r="L293" s="240"/>
      <c r="M293" s="240"/>
    </row>
    <row r="294" spans="1:13" s="124" customFormat="1" ht="21.95" customHeight="1" x14ac:dyDescent="0.25">
      <c r="A294" s="242" t="s">
        <v>460</v>
      </c>
      <c r="B294" s="136" t="s">
        <v>115</v>
      </c>
      <c r="C294" s="136">
        <v>1500</v>
      </c>
      <c r="D294" s="137">
        <v>45495</v>
      </c>
      <c r="E294" s="137">
        <v>45495</v>
      </c>
      <c r="F294" s="137">
        <v>45532</v>
      </c>
      <c r="G294" s="139" t="s">
        <v>58</v>
      </c>
      <c r="H294" s="139"/>
      <c r="I294" s="139" t="s">
        <v>646</v>
      </c>
      <c r="J294" s="139"/>
      <c r="K294" s="240"/>
      <c r="L294" s="240"/>
      <c r="M294" s="240"/>
    </row>
    <row r="295" spans="1:13" s="124" customFormat="1" ht="21.95" customHeight="1" x14ac:dyDescent="0.25">
      <c r="A295" s="242" t="s">
        <v>461</v>
      </c>
      <c r="B295" s="136" t="s">
        <v>185</v>
      </c>
      <c r="C295" s="136">
        <v>1500</v>
      </c>
      <c r="D295" s="137" t="s">
        <v>86</v>
      </c>
      <c r="E295" s="137" t="s">
        <v>87</v>
      </c>
      <c r="F295" s="137"/>
      <c r="G295" s="139" t="s">
        <v>58</v>
      </c>
      <c r="H295" s="139"/>
      <c r="I295" s="139"/>
      <c r="J295" s="139"/>
      <c r="K295" s="240"/>
      <c r="L295" s="240"/>
      <c r="M295" s="240"/>
    </row>
    <row r="296" spans="1:13" s="124" customFormat="1" ht="21.95" customHeight="1" x14ac:dyDescent="0.25">
      <c r="A296" s="256" t="s">
        <v>462</v>
      </c>
      <c r="B296" s="136">
        <v>55</v>
      </c>
      <c r="C296" s="136">
        <v>3000</v>
      </c>
      <c r="D296" s="137" t="s">
        <v>463</v>
      </c>
      <c r="E296" s="137" t="s">
        <v>464</v>
      </c>
      <c r="F296" s="137"/>
      <c r="G296" s="139" t="s">
        <v>465</v>
      </c>
      <c r="H296" s="139"/>
      <c r="I296" s="139"/>
      <c r="J296" s="139"/>
      <c r="K296" s="240"/>
      <c r="L296" s="240"/>
      <c r="M296" s="240"/>
    </row>
    <row r="297" spans="1:13" s="124" customFormat="1" ht="21.95" customHeight="1" x14ac:dyDescent="0.25">
      <c r="A297" s="256" t="s">
        <v>466</v>
      </c>
      <c r="B297" s="136" t="s">
        <v>60</v>
      </c>
      <c r="C297" s="136">
        <v>1500</v>
      </c>
      <c r="D297" s="137" t="s">
        <v>463</v>
      </c>
      <c r="E297" s="137" t="s">
        <v>464</v>
      </c>
      <c r="F297" s="137"/>
      <c r="G297" s="139" t="s">
        <v>465</v>
      </c>
      <c r="H297" s="139"/>
      <c r="I297" s="139"/>
      <c r="J297" s="139"/>
      <c r="K297" s="240"/>
      <c r="L297" s="240"/>
      <c r="M297" s="240"/>
    </row>
    <row r="298" spans="1:13" s="124" customFormat="1" ht="21.95" customHeight="1" x14ac:dyDescent="0.25">
      <c r="A298" s="256" t="s">
        <v>467</v>
      </c>
      <c r="B298" s="136" t="s">
        <v>468</v>
      </c>
      <c r="C298" s="136">
        <f t="shared" ref="C298:C299" si="77">C297</f>
        <v>1500</v>
      </c>
      <c r="D298" s="138" t="s">
        <v>416</v>
      </c>
      <c r="E298" s="138" t="s">
        <v>417</v>
      </c>
      <c r="F298" s="137" t="s">
        <v>402</v>
      </c>
      <c r="G298" s="139" t="s">
        <v>58</v>
      </c>
      <c r="H298" s="139"/>
      <c r="I298" s="139"/>
      <c r="J298" s="139" t="s">
        <v>469</v>
      </c>
      <c r="K298" s="240"/>
      <c r="L298" s="240"/>
      <c r="M298" s="240"/>
    </row>
    <row r="299" spans="1:13" s="124" customFormat="1" ht="21.95" customHeight="1" x14ac:dyDescent="0.25">
      <c r="A299" s="256" t="s">
        <v>470</v>
      </c>
      <c r="B299" s="136" t="s">
        <v>468</v>
      </c>
      <c r="C299" s="136">
        <f t="shared" si="77"/>
        <v>1500</v>
      </c>
      <c r="D299" s="138" t="s">
        <v>416</v>
      </c>
      <c r="E299" s="138" t="s">
        <v>417</v>
      </c>
      <c r="F299" s="137" t="s">
        <v>402</v>
      </c>
      <c r="G299" s="139" t="s">
        <v>58</v>
      </c>
      <c r="H299" s="139"/>
      <c r="I299" s="139"/>
      <c r="J299" s="139" t="s">
        <v>469</v>
      </c>
      <c r="K299" s="240"/>
      <c r="L299" s="240"/>
      <c r="M299" s="240"/>
    </row>
    <row r="300" spans="1:13" s="124" customFormat="1" ht="21.95" customHeight="1" x14ac:dyDescent="0.25">
      <c r="A300" s="256" t="s">
        <v>471</v>
      </c>
      <c r="B300" s="136">
        <v>45</v>
      </c>
      <c r="C300" s="136">
        <v>3000</v>
      </c>
      <c r="D300" s="138" t="s">
        <v>416</v>
      </c>
      <c r="E300" s="138" t="s">
        <v>417</v>
      </c>
      <c r="F300" s="137" t="s">
        <v>402</v>
      </c>
      <c r="G300" s="139" t="s">
        <v>58</v>
      </c>
      <c r="H300" s="139"/>
      <c r="I300" s="139"/>
      <c r="J300" s="139"/>
      <c r="K300" s="240"/>
      <c r="L300" s="240"/>
      <c r="M300" s="240"/>
    </row>
    <row r="301" spans="1:13" s="124" customFormat="1" ht="21.95" customHeight="1" x14ac:dyDescent="0.25">
      <c r="A301" s="256" t="s">
        <v>472</v>
      </c>
      <c r="B301" s="136">
        <v>55</v>
      </c>
      <c r="C301" s="136">
        <v>1500</v>
      </c>
      <c r="D301" s="138" t="s">
        <v>416</v>
      </c>
      <c r="E301" s="138" t="s">
        <v>417</v>
      </c>
      <c r="F301" s="137" t="s">
        <v>402</v>
      </c>
      <c r="G301" s="139" t="s">
        <v>58</v>
      </c>
      <c r="H301" s="139"/>
      <c r="I301" s="139"/>
      <c r="J301" s="139"/>
      <c r="K301" s="240"/>
      <c r="L301" s="240"/>
      <c r="M301" s="240"/>
    </row>
    <row r="302" spans="1:13" s="124" customFormat="1" ht="21.95" customHeight="1" x14ac:dyDescent="0.25">
      <c r="A302" s="256" t="s">
        <v>473</v>
      </c>
      <c r="B302" s="136" t="s">
        <v>30</v>
      </c>
      <c r="C302" s="136">
        <v>1500</v>
      </c>
      <c r="D302" s="138" t="s">
        <v>416</v>
      </c>
      <c r="E302" s="138" t="s">
        <v>417</v>
      </c>
      <c r="F302" s="137" t="s">
        <v>402</v>
      </c>
      <c r="G302" s="139" t="s">
        <v>58</v>
      </c>
      <c r="H302" s="139"/>
      <c r="I302" s="139"/>
      <c r="J302" s="139"/>
      <c r="K302" s="240"/>
      <c r="L302" s="240"/>
      <c r="M302" s="240"/>
    </row>
    <row r="303" spans="1:13" s="124" customFormat="1" ht="21.95" customHeight="1" x14ac:dyDescent="0.25">
      <c r="A303" s="191" t="s">
        <v>474</v>
      </c>
      <c r="B303" s="136" t="s">
        <v>30</v>
      </c>
      <c r="C303" s="136">
        <v>1500</v>
      </c>
      <c r="D303" s="138" t="s">
        <v>416</v>
      </c>
      <c r="E303" s="138" t="s">
        <v>417</v>
      </c>
      <c r="F303" s="137" t="s">
        <v>402</v>
      </c>
      <c r="G303" s="139" t="s">
        <v>58</v>
      </c>
      <c r="H303" s="139"/>
      <c r="I303" s="139"/>
      <c r="J303" s="139"/>
      <c r="K303" s="240"/>
      <c r="L303" s="240"/>
      <c r="M303" s="240"/>
    </row>
    <row r="304" spans="1:13" s="124" customFormat="1" ht="21.95" customHeight="1" x14ac:dyDescent="0.25">
      <c r="A304" s="198" t="s">
        <v>474</v>
      </c>
      <c r="B304" s="136" t="s">
        <v>30</v>
      </c>
      <c r="C304" s="136">
        <v>1500</v>
      </c>
      <c r="D304" s="138">
        <v>45475</v>
      </c>
      <c r="E304" s="138">
        <v>45475</v>
      </c>
      <c r="F304" s="137"/>
      <c r="G304" s="139" t="s">
        <v>58</v>
      </c>
      <c r="H304" s="139"/>
      <c r="I304" s="139" t="s">
        <v>571</v>
      </c>
      <c r="J304" s="139"/>
      <c r="K304" s="240"/>
      <c r="L304" s="240"/>
      <c r="M304" s="240"/>
    </row>
    <row r="305" spans="1:13" s="124" customFormat="1" ht="21.95" customHeight="1" x14ac:dyDescent="0.25">
      <c r="A305" s="256" t="s">
        <v>475</v>
      </c>
      <c r="B305" s="136" t="s">
        <v>30</v>
      </c>
      <c r="C305" s="136">
        <v>1500</v>
      </c>
      <c r="D305" s="138" t="s">
        <v>416</v>
      </c>
      <c r="E305" s="138" t="s">
        <v>417</v>
      </c>
      <c r="F305" s="137" t="s">
        <v>402</v>
      </c>
      <c r="G305" s="139" t="s">
        <v>58</v>
      </c>
      <c r="H305" s="139"/>
      <c r="I305" s="139"/>
      <c r="J305" s="139"/>
      <c r="K305" s="240"/>
      <c r="L305" s="240"/>
      <c r="M305" s="240"/>
    </row>
    <row r="306" spans="1:13" s="124" customFormat="1" ht="21.95" customHeight="1" x14ac:dyDescent="0.25">
      <c r="A306" s="256" t="s">
        <v>476</v>
      </c>
      <c r="B306" s="136" t="s">
        <v>448</v>
      </c>
      <c r="C306" s="136">
        <v>3000</v>
      </c>
      <c r="D306" s="138" t="s">
        <v>416</v>
      </c>
      <c r="E306" s="138" t="s">
        <v>417</v>
      </c>
      <c r="F306" s="137" t="s">
        <v>402</v>
      </c>
      <c r="G306" s="139" t="s">
        <v>58</v>
      </c>
      <c r="H306" s="139"/>
      <c r="I306" s="139"/>
      <c r="J306" s="139"/>
      <c r="K306" s="240"/>
      <c r="L306" s="240"/>
      <c r="M306" s="240"/>
    </row>
    <row r="307" spans="1:13" s="124" customFormat="1" ht="21.95" customHeight="1" x14ac:dyDescent="0.25">
      <c r="A307" s="256" t="s">
        <v>477</v>
      </c>
      <c r="B307" s="136">
        <v>11</v>
      </c>
      <c r="C307" s="136">
        <v>3000</v>
      </c>
      <c r="D307" s="137"/>
      <c r="E307" s="137"/>
      <c r="F307" s="138" t="s">
        <v>113</v>
      </c>
      <c r="G307" s="139" t="s">
        <v>478</v>
      </c>
      <c r="H307" s="139"/>
      <c r="I307" s="139"/>
      <c r="J307" s="139"/>
      <c r="K307" s="240"/>
      <c r="L307" s="240"/>
      <c r="M307" s="240"/>
    </row>
    <row r="308" spans="1:13" s="124" customFormat="1" ht="21.95" customHeight="1" x14ac:dyDescent="0.25">
      <c r="A308" s="256" t="s">
        <v>479</v>
      </c>
      <c r="B308" s="136" t="s">
        <v>144</v>
      </c>
      <c r="C308" s="136">
        <v>1500</v>
      </c>
      <c r="D308" s="137" t="s">
        <v>401</v>
      </c>
      <c r="E308" s="137" t="s">
        <v>402</v>
      </c>
      <c r="F308" s="138" t="s">
        <v>35</v>
      </c>
      <c r="G308" s="139" t="s">
        <v>58</v>
      </c>
      <c r="H308" s="139"/>
      <c r="I308" s="139" t="s">
        <v>520</v>
      </c>
      <c r="J308" s="139"/>
      <c r="K308" s="240"/>
      <c r="L308" s="240"/>
      <c r="M308" s="240"/>
    </row>
    <row r="309" spans="1:13" s="124" customFormat="1" ht="21.95" customHeight="1" x14ac:dyDescent="0.25">
      <c r="A309" s="256" t="s">
        <v>479</v>
      </c>
      <c r="B309" s="136" t="s">
        <v>144</v>
      </c>
      <c r="C309" s="136">
        <v>1500</v>
      </c>
      <c r="D309" s="138">
        <v>45399</v>
      </c>
      <c r="E309" s="138">
        <v>45399</v>
      </c>
      <c r="F309" s="137">
        <v>45422</v>
      </c>
      <c r="G309" s="139" t="s">
        <v>58</v>
      </c>
      <c r="H309" s="139"/>
      <c r="I309" s="139" t="s">
        <v>520</v>
      </c>
      <c r="J309" s="139"/>
      <c r="K309" s="240"/>
      <c r="L309" s="240"/>
      <c r="M309" s="240"/>
    </row>
    <row r="310" spans="1:13" s="124" customFormat="1" ht="21.95" customHeight="1" x14ac:dyDescent="0.25">
      <c r="A310" s="256" t="s">
        <v>480</v>
      </c>
      <c r="B310" s="136">
        <v>45</v>
      </c>
      <c r="C310" s="136">
        <v>3000</v>
      </c>
      <c r="D310" s="138" t="s">
        <v>401</v>
      </c>
      <c r="E310" s="138" t="s">
        <v>402</v>
      </c>
      <c r="F310" s="137" t="s">
        <v>35</v>
      </c>
      <c r="G310" s="139" t="s">
        <v>58</v>
      </c>
      <c r="H310" s="139"/>
      <c r="I310" s="139"/>
      <c r="J310" s="139"/>
      <c r="K310" s="240"/>
      <c r="L310" s="240"/>
      <c r="M310" s="240"/>
    </row>
    <row r="311" spans="1:13" s="124" customFormat="1" ht="21.95" customHeight="1" x14ac:dyDescent="0.25">
      <c r="A311" s="256" t="s">
        <v>480</v>
      </c>
      <c r="B311" s="136">
        <v>45</v>
      </c>
      <c r="C311" s="136">
        <v>3000</v>
      </c>
      <c r="D311" s="138">
        <v>45349</v>
      </c>
      <c r="E311" s="138">
        <v>45365</v>
      </c>
      <c r="F311" s="137">
        <v>45399</v>
      </c>
      <c r="G311" s="139" t="s">
        <v>58</v>
      </c>
      <c r="H311" s="139"/>
      <c r="I311" s="139"/>
      <c r="J311" s="139"/>
      <c r="K311" s="240"/>
      <c r="L311" s="240"/>
      <c r="M311" s="240"/>
    </row>
    <row r="312" spans="1:13" s="124" customFormat="1" ht="21.95" customHeight="1" x14ac:dyDescent="0.25">
      <c r="A312" s="256" t="s">
        <v>481</v>
      </c>
      <c r="B312" s="136" t="s">
        <v>482</v>
      </c>
      <c r="C312" s="136">
        <v>1500</v>
      </c>
      <c r="D312" s="138" t="s">
        <v>401</v>
      </c>
      <c r="E312" s="138" t="s">
        <v>402</v>
      </c>
      <c r="F312" s="137" t="s">
        <v>35</v>
      </c>
      <c r="G312" s="139" t="s">
        <v>58</v>
      </c>
      <c r="H312" s="139"/>
      <c r="I312" s="139"/>
      <c r="J312" s="139"/>
      <c r="K312" s="240"/>
      <c r="L312" s="240"/>
      <c r="M312" s="240"/>
    </row>
    <row r="313" spans="1:13" s="124" customFormat="1" ht="21.95" customHeight="1" x14ac:dyDescent="0.25">
      <c r="A313" s="256" t="s">
        <v>483</v>
      </c>
      <c r="B313" s="136" t="s">
        <v>30</v>
      </c>
      <c r="C313" s="136">
        <v>1500</v>
      </c>
      <c r="D313" s="137" t="s">
        <v>33</v>
      </c>
      <c r="E313" s="137" t="s">
        <v>34</v>
      </c>
      <c r="F313" s="137" t="s">
        <v>35</v>
      </c>
      <c r="G313" s="139" t="s">
        <v>58</v>
      </c>
      <c r="H313" s="139"/>
      <c r="I313" s="139"/>
      <c r="J313" s="139"/>
      <c r="K313" s="240"/>
      <c r="L313" s="240"/>
      <c r="M313" s="240"/>
    </row>
    <row r="314" spans="1:13" s="124" customFormat="1" ht="21.95" customHeight="1" x14ac:dyDescent="0.25">
      <c r="A314" s="256" t="s">
        <v>484</v>
      </c>
      <c r="B314" s="136" t="s">
        <v>144</v>
      </c>
      <c r="C314" s="136">
        <v>1500</v>
      </c>
      <c r="D314" s="137" t="s">
        <v>33</v>
      </c>
      <c r="E314" s="137" t="s">
        <v>34</v>
      </c>
      <c r="F314" s="137" t="s">
        <v>35</v>
      </c>
      <c r="G314" s="139" t="s">
        <v>58</v>
      </c>
      <c r="H314" s="139"/>
      <c r="I314" s="139"/>
      <c r="J314" s="139"/>
      <c r="K314" s="240"/>
      <c r="L314" s="240"/>
      <c r="M314" s="240"/>
    </row>
    <row r="315" spans="1:13" s="124" customFormat="1" ht="21.95" customHeight="1" x14ac:dyDescent="0.25">
      <c r="A315" s="256" t="s">
        <v>485</v>
      </c>
      <c r="B315" s="136" t="s">
        <v>399</v>
      </c>
      <c r="C315" s="136">
        <v>1400</v>
      </c>
      <c r="D315" s="137" t="s">
        <v>33</v>
      </c>
      <c r="E315" s="137">
        <v>45288</v>
      </c>
      <c r="F315" s="137" t="s">
        <v>35</v>
      </c>
      <c r="G315" s="139" t="s">
        <v>58</v>
      </c>
      <c r="H315" s="139"/>
      <c r="I315" s="139"/>
      <c r="J315" s="139"/>
      <c r="K315" s="240"/>
      <c r="L315" s="240"/>
      <c r="M315" s="240"/>
    </row>
    <row r="316" spans="1:13" s="124" customFormat="1" ht="21.95" customHeight="1" x14ac:dyDescent="0.25">
      <c r="A316" s="257" t="s">
        <v>486</v>
      </c>
      <c r="B316" s="201">
        <v>75</v>
      </c>
      <c r="C316" s="201">
        <v>1500</v>
      </c>
      <c r="D316" s="258">
        <v>45283</v>
      </c>
      <c r="E316" s="258">
        <v>45288</v>
      </c>
      <c r="F316" s="259">
        <v>45306</v>
      </c>
      <c r="G316" s="260" t="s">
        <v>58</v>
      </c>
      <c r="H316" s="260"/>
      <c r="I316" s="203" t="s">
        <v>674</v>
      </c>
      <c r="J316" s="260"/>
      <c r="K316" s="240"/>
      <c r="L316" s="240"/>
      <c r="M316" s="240"/>
    </row>
    <row r="317" spans="1:13" s="124" customFormat="1" ht="21.95" customHeight="1" x14ac:dyDescent="0.25">
      <c r="A317" s="257" t="s">
        <v>486</v>
      </c>
      <c r="B317" s="201">
        <v>75</v>
      </c>
      <c r="C317" s="201">
        <v>1500</v>
      </c>
      <c r="D317" s="258">
        <v>45308</v>
      </c>
      <c r="E317" s="258">
        <v>45308</v>
      </c>
      <c r="F317" s="259">
        <v>45709</v>
      </c>
      <c r="G317" s="260" t="s">
        <v>58</v>
      </c>
      <c r="H317" s="260"/>
      <c r="I317" s="260"/>
      <c r="J317" s="260"/>
      <c r="K317" s="240"/>
      <c r="L317" s="240"/>
      <c r="M317" s="240"/>
    </row>
    <row r="318" spans="1:13" s="124" customFormat="1" ht="21.95" customHeight="1" x14ac:dyDescent="0.25">
      <c r="A318" s="256" t="s">
        <v>487</v>
      </c>
      <c r="B318" s="136">
        <v>4</v>
      </c>
      <c r="C318" s="136">
        <v>1500</v>
      </c>
      <c r="D318" s="137">
        <v>45283</v>
      </c>
      <c r="E318" s="137">
        <v>45288</v>
      </c>
      <c r="F318" s="138">
        <v>45306</v>
      </c>
      <c r="G318" s="139" t="s">
        <v>58</v>
      </c>
      <c r="H318" s="139"/>
      <c r="I318" s="139"/>
      <c r="J318" s="139"/>
      <c r="K318" s="240"/>
      <c r="L318" s="240"/>
      <c r="M318" s="240"/>
    </row>
    <row r="319" spans="1:13" s="124" customFormat="1" ht="21.95" customHeight="1" x14ac:dyDescent="0.25">
      <c r="A319" s="256" t="s">
        <v>487</v>
      </c>
      <c r="B319" s="136">
        <v>4</v>
      </c>
      <c r="C319" s="136">
        <v>1500</v>
      </c>
      <c r="D319" s="137">
        <v>45726</v>
      </c>
      <c r="E319" s="137">
        <v>45769</v>
      </c>
      <c r="F319" s="138">
        <v>45800</v>
      </c>
      <c r="G319" s="139"/>
      <c r="H319" s="139"/>
      <c r="I319" s="139" t="s">
        <v>701</v>
      </c>
      <c r="J319" s="139"/>
      <c r="K319" s="240"/>
      <c r="L319" s="240"/>
      <c r="M319" s="240"/>
    </row>
    <row r="320" spans="1:13" s="124" customFormat="1" ht="21.95" customHeight="1" x14ac:dyDescent="0.25">
      <c r="A320" s="256" t="s">
        <v>488</v>
      </c>
      <c r="B320" s="136" t="s">
        <v>115</v>
      </c>
      <c r="C320" s="136">
        <v>3000</v>
      </c>
      <c r="D320" s="137">
        <v>45313</v>
      </c>
      <c r="E320" s="137">
        <v>45321</v>
      </c>
      <c r="F320" s="138">
        <v>45342</v>
      </c>
      <c r="G320" s="139" t="s">
        <v>58</v>
      </c>
      <c r="H320" s="139"/>
      <c r="I320" s="139" t="s">
        <v>489</v>
      </c>
      <c r="J320" s="139"/>
      <c r="K320" s="240"/>
      <c r="L320" s="240"/>
      <c r="M320" s="240"/>
    </row>
    <row r="321" spans="1:13" s="124" customFormat="1" ht="21.95" customHeight="1" x14ac:dyDescent="0.25">
      <c r="A321" s="256" t="s">
        <v>488</v>
      </c>
      <c r="B321" s="136">
        <v>3</v>
      </c>
      <c r="C321" s="136">
        <v>1500</v>
      </c>
      <c r="D321" s="137">
        <v>45349</v>
      </c>
      <c r="E321" s="137">
        <v>45365</v>
      </c>
      <c r="F321" s="138">
        <v>45399</v>
      </c>
      <c r="G321" s="139" t="s">
        <v>58</v>
      </c>
      <c r="H321" s="139"/>
      <c r="I321" s="139" t="s">
        <v>554</v>
      </c>
      <c r="J321" s="139"/>
      <c r="K321" s="240"/>
      <c r="L321" s="240"/>
      <c r="M321" s="240"/>
    </row>
    <row r="322" spans="1:13" s="124" customFormat="1" ht="21.95" customHeight="1" x14ac:dyDescent="0.25">
      <c r="A322" s="256" t="s">
        <v>490</v>
      </c>
      <c r="B322" s="136" t="s">
        <v>115</v>
      </c>
      <c r="C322" s="136">
        <v>1500</v>
      </c>
      <c r="D322" s="137">
        <v>45283</v>
      </c>
      <c r="E322" s="137">
        <v>45288</v>
      </c>
      <c r="F322" s="138">
        <v>45306</v>
      </c>
      <c r="G322" s="139" t="s">
        <v>58</v>
      </c>
      <c r="H322" s="139"/>
      <c r="I322" s="139"/>
      <c r="J322" s="139"/>
      <c r="K322" s="240"/>
      <c r="L322" s="240"/>
      <c r="M322" s="240"/>
    </row>
    <row r="323" spans="1:13" s="124" customFormat="1" ht="21.95" customHeight="1" x14ac:dyDescent="0.25">
      <c r="A323" s="256" t="s">
        <v>491</v>
      </c>
      <c r="B323" s="136">
        <v>45</v>
      </c>
      <c r="C323" s="136">
        <v>1500</v>
      </c>
      <c r="D323" s="137">
        <v>45283</v>
      </c>
      <c r="E323" s="137">
        <v>45288</v>
      </c>
      <c r="F323" s="138">
        <v>45306</v>
      </c>
      <c r="G323" s="139" t="s">
        <v>58</v>
      </c>
      <c r="H323" s="139"/>
      <c r="I323" s="139"/>
      <c r="J323" s="139"/>
      <c r="K323" s="240"/>
      <c r="L323" s="240"/>
      <c r="M323" s="240"/>
    </row>
    <row r="324" spans="1:13" s="124" customFormat="1" ht="21.95" customHeight="1" x14ac:dyDescent="0.25">
      <c r="A324" s="243" t="s">
        <v>492</v>
      </c>
      <c r="B324" s="146">
        <v>90</v>
      </c>
      <c r="C324" s="146">
        <v>1500</v>
      </c>
      <c r="D324" s="147">
        <v>45283</v>
      </c>
      <c r="E324" s="147">
        <v>45288</v>
      </c>
      <c r="F324" s="147">
        <v>45632</v>
      </c>
      <c r="G324" s="149" t="s">
        <v>58</v>
      </c>
      <c r="H324" s="149"/>
      <c r="I324" s="149"/>
      <c r="J324" s="149"/>
      <c r="K324" s="240"/>
      <c r="L324" s="240"/>
      <c r="M324" s="240"/>
    </row>
    <row r="325" spans="1:13" s="124" customFormat="1" ht="21.95" customHeight="1" x14ac:dyDescent="0.25">
      <c r="A325" s="243" t="s">
        <v>492</v>
      </c>
      <c r="B325" s="146">
        <v>90</v>
      </c>
      <c r="C325" s="146">
        <v>1500</v>
      </c>
      <c r="D325" s="147">
        <v>45422</v>
      </c>
      <c r="E325" s="147">
        <v>45422</v>
      </c>
      <c r="F325" s="147">
        <v>45451</v>
      </c>
      <c r="G325" s="149" t="s">
        <v>58</v>
      </c>
      <c r="H325" s="149"/>
      <c r="I325" s="149"/>
      <c r="J325" s="149"/>
      <c r="K325" s="240"/>
      <c r="L325" s="240"/>
      <c r="M325" s="240"/>
    </row>
    <row r="326" spans="1:13" s="124" customFormat="1" ht="21.95" customHeight="1" x14ac:dyDescent="0.25">
      <c r="A326" s="243" t="s">
        <v>492</v>
      </c>
      <c r="B326" s="146">
        <v>90</v>
      </c>
      <c r="C326" s="146">
        <v>1500</v>
      </c>
      <c r="D326" s="147">
        <v>45553</v>
      </c>
      <c r="E326" s="147">
        <v>45553</v>
      </c>
      <c r="F326" s="147">
        <v>45588</v>
      </c>
      <c r="G326" s="149" t="s">
        <v>58</v>
      </c>
      <c r="H326" s="149"/>
      <c r="I326" s="149" t="s">
        <v>656</v>
      </c>
      <c r="J326" s="149"/>
      <c r="K326" s="240"/>
      <c r="L326" s="240"/>
      <c r="M326" s="240"/>
    </row>
    <row r="327" spans="1:13" s="124" customFormat="1" ht="21.95" customHeight="1" x14ac:dyDescent="0.25">
      <c r="A327" s="256" t="s">
        <v>493</v>
      </c>
      <c r="B327" s="136" t="s">
        <v>60</v>
      </c>
      <c r="C327" s="136">
        <v>1500</v>
      </c>
      <c r="D327" s="137">
        <v>45283</v>
      </c>
      <c r="E327" s="137">
        <v>45288</v>
      </c>
      <c r="F327" s="138">
        <v>45306</v>
      </c>
      <c r="G327" s="139" t="s">
        <v>58</v>
      </c>
      <c r="H327" s="139"/>
      <c r="I327" s="139"/>
      <c r="J327" s="139"/>
      <c r="K327" s="240"/>
      <c r="L327" s="240"/>
      <c r="M327" s="240"/>
    </row>
    <row r="328" spans="1:13" s="124" customFormat="1" ht="21.95" customHeight="1" x14ac:dyDescent="0.25">
      <c r="A328" s="256" t="s">
        <v>494</v>
      </c>
      <c r="B328" s="136" t="s">
        <v>30</v>
      </c>
      <c r="C328" s="136">
        <v>1500</v>
      </c>
      <c r="D328" s="137">
        <v>45296</v>
      </c>
      <c r="E328" s="137">
        <v>45306</v>
      </c>
      <c r="F328" s="137">
        <v>45321</v>
      </c>
      <c r="G328" s="139" t="s">
        <v>58</v>
      </c>
      <c r="H328" s="139"/>
      <c r="I328" s="139" t="s">
        <v>495</v>
      </c>
      <c r="J328" s="139"/>
      <c r="K328" s="240"/>
      <c r="L328" s="240"/>
      <c r="M328" s="240"/>
    </row>
    <row r="329" spans="1:13" s="124" customFormat="1" ht="21.95" customHeight="1" x14ac:dyDescent="0.25">
      <c r="A329" s="256" t="s">
        <v>494</v>
      </c>
      <c r="B329" s="136" t="s">
        <v>30</v>
      </c>
      <c r="C329" s="136">
        <v>1500</v>
      </c>
      <c r="D329" s="137">
        <v>45726</v>
      </c>
      <c r="E329" s="137">
        <v>45769</v>
      </c>
      <c r="F329" s="137">
        <v>45800</v>
      </c>
      <c r="G329" s="139"/>
      <c r="H329" s="139"/>
      <c r="I329" s="139" t="s">
        <v>700</v>
      </c>
      <c r="J329" s="139"/>
      <c r="K329" s="240"/>
      <c r="L329" s="240"/>
      <c r="M329" s="240"/>
    </row>
    <row r="330" spans="1:13" s="124" customFormat="1" ht="21.95" customHeight="1" x14ac:dyDescent="0.25">
      <c r="A330" s="256" t="s">
        <v>496</v>
      </c>
      <c r="B330" s="136" t="s">
        <v>144</v>
      </c>
      <c r="C330" s="136">
        <v>1500</v>
      </c>
      <c r="D330" s="137">
        <v>45296</v>
      </c>
      <c r="E330" s="137">
        <v>45306</v>
      </c>
      <c r="F330" s="137">
        <v>45321</v>
      </c>
      <c r="G330" s="139" t="s">
        <v>58</v>
      </c>
      <c r="H330" s="139"/>
      <c r="I330" s="139" t="s">
        <v>497</v>
      </c>
      <c r="J330" s="139"/>
      <c r="K330" s="240"/>
      <c r="L330" s="240"/>
      <c r="M330" s="240"/>
    </row>
    <row r="331" spans="1:13" s="124" customFormat="1" ht="21.95" customHeight="1" x14ac:dyDescent="0.25">
      <c r="A331" s="256" t="s">
        <v>496</v>
      </c>
      <c r="B331" s="136" t="s">
        <v>144</v>
      </c>
      <c r="C331" s="136">
        <v>1500</v>
      </c>
      <c r="D331" s="137">
        <v>45726</v>
      </c>
      <c r="E331" s="137">
        <v>45769</v>
      </c>
      <c r="F331" s="137">
        <v>45800</v>
      </c>
      <c r="G331" s="139" t="s">
        <v>58</v>
      </c>
      <c r="H331" s="139"/>
      <c r="I331" s="139" t="s">
        <v>520</v>
      </c>
      <c r="J331" s="139"/>
      <c r="K331" s="240"/>
      <c r="L331" s="240"/>
      <c r="M331" s="240"/>
    </row>
    <row r="332" spans="1:13" s="124" customFormat="1" ht="21.95" customHeight="1" x14ac:dyDescent="0.25">
      <c r="A332" s="256" t="s">
        <v>498</v>
      </c>
      <c r="B332" s="136" t="s">
        <v>115</v>
      </c>
      <c r="C332" s="136">
        <v>1500</v>
      </c>
      <c r="D332" s="137">
        <v>45296</v>
      </c>
      <c r="E332" s="137">
        <v>45306</v>
      </c>
      <c r="F332" s="137">
        <v>45321</v>
      </c>
      <c r="G332" s="139" t="s">
        <v>58</v>
      </c>
      <c r="H332" s="139"/>
      <c r="I332" s="139" t="s">
        <v>499</v>
      </c>
      <c r="J332" s="139"/>
      <c r="K332" s="200"/>
      <c r="L332" s="240"/>
      <c r="M332" s="240"/>
    </row>
    <row r="333" spans="1:13" s="124" customFormat="1" ht="21.95" customHeight="1" x14ac:dyDescent="0.25">
      <c r="A333" s="256" t="s">
        <v>500</v>
      </c>
      <c r="B333" s="136" t="s">
        <v>115</v>
      </c>
      <c r="C333" s="136">
        <v>1500</v>
      </c>
      <c r="D333" s="137">
        <v>45296</v>
      </c>
      <c r="E333" s="137">
        <v>45306</v>
      </c>
      <c r="F333" s="137">
        <v>45321</v>
      </c>
      <c r="G333" s="139" t="s">
        <v>58</v>
      </c>
      <c r="H333" s="139"/>
      <c r="I333" s="139" t="s">
        <v>501</v>
      </c>
      <c r="J333" s="139"/>
      <c r="K333" s="240"/>
      <c r="L333" s="240"/>
      <c r="M333" s="240"/>
    </row>
    <row r="334" spans="1:13" s="124" customFormat="1" ht="21.95" customHeight="1" x14ac:dyDescent="0.25">
      <c r="A334" s="256" t="s">
        <v>500</v>
      </c>
      <c r="B334" s="136" t="s">
        <v>115</v>
      </c>
      <c r="C334" s="136">
        <v>1500</v>
      </c>
      <c r="D334" s="137">
        <v>45588</v>
      </c>
      <c r="E334" s="137">
        <v>45588</v>
      </c>
      <c r="F334" s="137">
        <v>45614</v>
      </c>
      <c r="G334" s="139" t="s">
        <v>58</v>
      </c>
      <c r="H334" s="139"/>
      <c r="I334" s="139" t="s">
        <v>652</v>
      </c>
      <c r="J334" s="139"/>
      <c r="K334" s="240"/>
      <c r="L334" s="240"/>
      <c r="M334" s="240"/>
    </row>
    <row r="335" spans="1:13" s="124" customFormat="1" ht="21.95" customHeight="1" x14ac:dyDescent="0.25">
      <c r="A335" s="256" t="s">
        <v>502</v>
      </c>
      <c r="B335" s="136">
        <v>11</v>
      </c>
      <c r="C335" s="136">
        <v>1500</v>
      </c>
      <c r="D335" s="137">
        <v>45341</v>
      </c>
      <c r="E335" s="137">
        <v>45342</v>
      </c>
      <c r="F335" s="137">
        <v>45365</v>
      </c>
      <c r="G335" s="139" t="s">
        <v>58</v>
      </c>
      <c r="H335" s="139"/>
      <c r="I335" s="139" t="s">
        <v>503</v>
      </c>
      <c r="J335" s="139"/>
      <c r="K335" s="240"/>
      <c r="L335" s="240"/>
      <c r="M335" s="240"/>
    </row>
    <row r="336" spans="1:13" s="124" customFormat="1" ht="21.95" customHeight="1" x14ac:dyDescent="0.25">
      <c r="A336" s="256" t="s">
        <v>504</v>
      </c>
      <c r="B336" s="136">
        <v>4</v>
      </c>
      <c r="C336" s="136">
        <v>1500</v>
      </c>
      <c r="D336" s="137">
        <v>45313</v>
      </c>
      <c r="E336" s="137">
        <v>45321</v>
      </c>
      <c r="F336" s="137">
        <v>45342</v>
      </c>
      <c r="G336" s="139" t="s">
        <v>58</v>
      </c>
      <c r="H336" s="139"/>
      <c r="I336" s="139" t="s">
        <v>505</v>
      </c>
      <c r="J336" s="139"/>
      <c r="K336" s="240"/>
      <c r="L336" s="240"/>
      <c r="M336" s="240"/>
    </row>
    <row r="337" spans="1:13" s="124" customFormat="1" ht="21.95" customHeight="1" x14ac:dyDescent="0.25">
      <c r="A337" s="256" t="s">
        <v>506</v>
      </c>
      <c r="B337" s="136">
        <v>3</v>
      </c>
      <c r="C337" s="136">
        <v>1500</v>
      </c>
      <c r="D337" s="137">
        <v>45313</v>
      </c>
      <c r="E337" s="137">
        <v>45321</v>
      </c>
      <c r="F337" s="137">
        <v>45342</v>
      </c>
      <c r="G337" s="139" t="s">
        <v>58</v>
      </c>
      <c r="H337" s="139"/>
      <c r="I337" s="139" t="s">
        <v>507</v>
      </c>
      <c r="J337" s="139"/>
      <c r="K337" s="240"/>
      <c r="L337" s="240"/>
      <c r="M337" s="240"/>
    </row>
    <row r="338" spans="1:13" s="124" customFormat="1" ht="21.95" customHeight="1" x14ac:dyDescent="0.25">
      <c r="A338" s="256" t="s">
        <v>508</v>
      </c>
      <c r="B338" s="136" t="s">
        <v>144</v>
      </c>
      <c r="C338" s="136">
        <v>1500</v>
      </c>
      <c r="D338" s="137">
        <v>45313</v>
      </c>
      <c r="E338" s="137">
        <v>45321</v>
      </c>
      <c r="F338" s="137">
        <v>45342</v>
      </c>
      <c r="G338" s="139" t="s">
        <v>58</v>
      </c>
      <c r="H338" s="139"/>
      <c r="I338" s="199" t="s">
        <v>670</v>
      </c>
      <c r="J338" s="139"/>
      <c r="K338" s="240"/>
      <c r="L338" s="240"/>
      <c r="M338" s="240"/>
    </row>
    <row r="339" spans="1:13" s="124" customFormat="1" ht="21.95" customHeight="1" x14ac:dyDescent="0.25">
      <c r="A339" s="256" t="s">
        <v>508</v>
      </c>
      <c r="B339" s="136" t="s">
        <v>144</v>
      </c>
      <c r="C339" s="136">
        <v>1500</v>
      </c>
      <c r="D339" s="137"/>
      <c r="E339" s="137">
        <v>45674</v>
      </c>
      <c r="F339" s="137">
        <v>45708</v>
      </c>
      <c r="G339" s="139" t="s">
        <v>58</v>
      </c>
      <c r="H339" s="139"/>
      <c r="I339" s="199" t="s">
        <v>670</v>
      </c>
      <c r="J339" s="139"/>
      <c r="K339" s="240"/>
      <c r="L339" s="240"/>
      <c r="M339" s="240"/>
    </row>
    <row r="340" spans="1:13" s="124" customFormat="1" ht="21.95" customHeight="1" x14ac:dyDescent="0.25">
      <c r="A340" s="256" t="s">
        <v>509</v>
      </c>
      <c r="B340" s="136">
        <v>15</v>
      </c>
      <c r="C340" s="136">
        <v>3000</v>
      </c>
      <c r="D340" s="137">
        <v>45313</v>
      </c>
      <c r="E340" s="137">
        <v>45321</v>
      </c>
      <c r="F340" s="137">
        <v>45325</v>
      </c>
      <c r="G340" s="139" t="s">
        <v>58</v>
      </c>
      <c r="H340" s="139"/>
      <c r="I340" s="139" t="s">
        <v>317</v>
      </c>
      <c r="J340" s="139" t="s">
        <v>510</v>
      </c>
      <c r="K340" s="240"/>
      <c r="L340" s="240"/>
      <c r="M340" s="240"/>
    </row>
    <row r="341" spans="1:13" s="124" customFormat="1" ht="21.95" customHeight="1" x14ac:dyDescent="0.25">
      <c r="A341" s="256" t="s">
        <v>509</v>
      </c>
      <c r="B341" s="136">
        <v>15</v>
      </c>
      <c r="C341" s="136">
        <v>3000</v>
      </c>
      <c r="D341" s="137"/>
      <c r="E341" s="137">
        <v>45708</v>
      </c>
      <c r="F341" s="137">
        <v>45740</v>
      </c>
      <c r="G341" s="139" t="s">
        <v>58</v>
      </c>
      <c r="H341" s="139"/>
      <c r="I341" s="139" t="s">
        <v>317</v>
      </c>
      <c r="J341" s="139"/>
      <c r="K341" s="240"/>
      <c r="L341" s="240"/>
      <c r="M341" s="240"/>
    </row>
    <row r="342" spans="1:13" s="124" customFormat="1" ht="21.95" customHeight="1" x14ac:dyDescent="0.25">
      <c r="A342" s="256" t="s">
        <v>509</v>
      </c>
      <c r="B342" s="136">
        <v>15</v>
      </c>
      <c r="C342" s="136">
        <v>3000</v>
      </c>
      <c r="D342" s="137">
        <v>45726</v>
      </c>
      <c r="E342" s="137">
        <v>45769</v>
      </c>
      <c r="F342" s="137">
        <v>45800</v>
      </c>
      <c r="G342" s="139"/>
      <c r="H342" s="139"/>
      <c r="I342" s="139" t="s">
        <v>317</v>
      </c>
      <c r="J342" s="139"/>
      <c r="K342" s="240"/>
      <c r="L342" s="240"/>
      <c r="M342" s="240"/>
    </row>
    <row r="343" spans="1:13" s="124" customFormat="1" ht="21.95" customHeight="1" x14ac:dyDescent="0.25">
      <c r="A343" s="256" t="s">
        <v>511</v>
      </c>
      <c r="B343" s="136">
        <v>3</v>
      </c>
      <c r="C343" s="136">
        <v>3000</v>
      </c>
      <c r="D343" s="137">
        <v>45341</v>
      </c>
      <c r="E343" s="137">
        <v>45342</v>
      </c>
      <c r="F343" s="137">
        <v>45365</v>
      </c>
      <c r="G343" s="139" t="s">
        <v>58</v>
      </c>
      <c r="H343" s="139"/>
      <c r="I343" s="139" t="s">
        <v>512</v>
      </c>
      <c r="J343" s="139"/>
      <c r="K343" s="240"/>
      <c r="L343" s="240"/>
      <c r="M343" s="240"/>
    </row>
    <row r="344" spans="1:13" s="124" customFormat="1" ht="21.95" customHeight="1" x14ac:dyDescent="0.25">
      <c r="A344" s="256" t="s">
        <v>513</v>
      </c>
      <c r="B344" s="136" t="s">
        <v>60</v>
      </c>
      <c r="C344" s="136">
        <v>1500</v>
      </c>
      <c r="D344" s="137">
        <v>45341</v>
      </c>
      <c r="E344" s="137">
        <v>45342</v>
      </c>
      <c r="F344" s="137">
        <v>45365</v>
      </c>
      <c r="G344" s="139" t="s">
        <v>58</v>
      </c>
      <c r="H344" s="139"/>
      <c r="I344" s="139" t="s">
        <v>514</v>
      </c>
      <c r="J344" s="139"/>
      <c r="K344" s="240"/>
      <c r="L344" s="240"/>
      <c r="M344" s="240"/>
    </row>
    <row r="345" spans="1:13" s="124" customFormat="1" ht="21.95" customHeight="1" x14ac:dyDescent="0.25">
      <c r="A345" s="256" t="s">
        <v>513</v>
      </c>
      <c r="B345" s="136" t="s">
        <v>60</v>
      </c>
      <c r="C345" s="136">
        <v>1500</v>
      </c>
      <c r="D345" s="137">
        <v>45588</v>
      </c>
      <c r="E345" s="137">
        <v>45588</v>
      </c>
      <c r="F345" s="137">
        <v>45614</v>
      </c>
      <c r="G345" s="139" t="s">
        <v>58</v>
      </c>
      <c r="H345" s="139"/>
      <c r="I345" s="139" t="s">
        <v>666</v>
      </c>
      <c r="J345" s="139"/>
      <c r="K345" s="240"/>
      <c r="L345" s="240"/>
      <c r="M345" s="240"/>
    </row>
    <row r="346" spans="1:13" s="124" customFormat="1" ht="21.95" customHeight="1" x14ac:dyDescent="0.25">
      <c r="A346" s="256" t="s">
        <v>515</v>
      </c>
      <c r="B346" s="136" t="s">
        <v>144</v>
      </c>
      <c r="C346" s="136">
        <v>1500</v>
      </c>
      <c r="D346" s="137">
        <v>45341</v>
      </c>
      <c r="E346" s="137">
        <v>45342</v>
      </c>
      <c r="F346" s="137">
        <v>45365</v>
      </c>
      <c r="G346" s="139" t="s">
        <v>58</v>
      </c>
      <c r="H346" s="139"/>
      <c r="I346" s="139" t="s">
        <v>516</v>
      </c>
      <c r="J346" s="139"/>
      <c r="K346" s="240"/>
      <c r="L346" s="240"/>
      <c r="M346" s="240"/>
    </row>
    <row r="347" spans="1:13" s="124" customFormat="1" ht="21.95" customHeight="1" x14ac:dyDescent="0.25">
      <c r="A347" s="256" t="s">
        <v>517</v>
      </c>
      <c r="B347" s="136" t="s">
        <v>435</v>
      </c>
      <c r="C347" s="136">
        <v>1500</v>
      </c>
      <c r="D347" s="137">
        <v>45341</v>
      </c>
      <c r="E347" s="137">
        <v>45342</v>
      </c>
      <c r="F347" s="137">
        <v>45365</v>
      </c>
      <c r="G347" s="139" t="s">
        <v>58</v>
      </c>
      <c r="H347" s="139"/>
      <c r="I347" s="139" t="s">
        <v>518</v>
      </c>
      <c r="J347" s="139"/>
      <c r="K347" s="240"/>
      <c r="L347" s="240"/>
      <c r="M347" s="240"/>
    </row>
    <row r="348" spans="1:13" s="124" customFormat="1" ht="21.95" customHeight="1" x14ac:dyDescent="0.25">
      <c r="A348" s="256" t="s">
        <v>519</v>
      </c>
      <c r="B348" s="136" t="s">
        <v>144</v>
      </c>
      <c r="C348" s="136">
        <v>1500</v>
      </c>
      <c r="D348" s="137">
        <v>45341</v>
      </c>
      <c r="E348" s="137">
        <v>45342</v>
      </c>
      <c r="F348" s="137">
        <v>45365</v>
      </c>
      <c r="G348" s="139" t="s">
        <v>58</v>
      </c>
      <c r="H348" s="139"/>
      <c r="I348" s="139" t="s">
        <v>520</v>
      </c>
      <c r="J348" s="139"/>
      <c r="K348" s="240"/>
      <c r="L348" s="240"/>
      <c r="M348" s="240"/>
    </row>
    <row r="349" spans="1:13" s="124" customFormat="1" ht="21.95" customHeight="1" x14ac:dyDescent="0.25">
      <c r="A349" s="256" t="s">
        <v>521</v>
      </c>
      <c r="B349" s="136">
        <v>3</v>
      </c>
      <c r="C349" s="136">
        <v>1500</v>
      </c>
      <c r="D349" s="137">
        <v>45399</v>
      </c>
      <c r="E349" s="137">
        <v>45399</v>
      </c>
      <c r="F349" s="137">
        <v>45422</v>
      </c>
      <c r="G349" s="139" t="s">
        <v>58</v>
      </c>
      <c r="H349" s="139"/>
      <c r="I349" s="139" t="s">
        <v>563</v>
      </c>
      <c r="J349" s="139"/>
      <c r="K349" s="240"/>
      <c r="L349" s="240"/>
      <c r="M349" s="240"/>
    </row>
    <row r="350" spans="1:13" s="124" customFormat="1" ht="21.95" customHeight="1" x14ac:dyDescent="0.25">
      <c r="A350" s="256" t="s">
        <v>522</v>
      </c>
      <c r="B350" s="136" t="s">
        <v>144</v>
      </c>
      <c r="C350" s="136">
        <v>1500</v>
      </c>
      <c r="D350" s="137">
        <v>45399</v>
      </c>
      <c r="E350" s="137">
        <v>45399</v>
      </c>
      <c r="F350" s="137">
        <v>45422</v>
      </c>
      <c r="G350" s="139" t="s">
        <v>58</v>
      </c>
      <c r="H350" s="139"/>
      <c r="I350" s="139" t="s">
        <v>562</v>
      </c>
      <c r="J350" s="139"/>
      <c r="K350" s="240"/>
      <c r="L350" s="240"/>
      <c r="M350" s="240"/>
    </row>
    <row r="351" spans="1:13" s="124" customFormat="1" ht="21.95" customHeight="1" x14ac:dyDescent="0.25">
      <c r="A351" s="256" t="s">
        <v>522</v>
      </c>
      <c r="B351" s="136" t="s">
        <v>144</v>
      </c>
      <c r="C351" s="136">
        <v>1500</v>
      </c>
      <c r="D351" s="137"/>
      <c r="E351" s="137">
        <v>45708</v>
      </c>
      <c r="F351" s="137"/>
      <c r="G351" s="139" t="s">
        <v>58</v>
      </c>
      <c r="H351" s="139"/>
      <c r="I351" s="139" t="s">
        <v>562</v>
      </c>
      <c r="J351" s="139"/>
      <c r="K351" s="240"/>
      <c r="L351" s="240"/>
      <c r="M351" s="240"/>
    </row>
    <row r="352" spans="1:13" s="124" customFormat="1" ht="21.95" customHeight="1" x14ac:dyDescent="0.25">
      <c r="A352" s="256" t="s">
        <v>523</v>
      </c>
      <c r="B352" s="136" t="s">
        <v>144</v>
      </c>
      <c r="C352" s="136">
        <v>1500</v>
      </c>
      <c r="D352" s="137">
        <v>45399</v>
      </c>
      <c r="E352" s="137">
        <v>45399</v>
      </c>
      <c r="F352" s="137">
        <v>45422</v>
      </c>
      <c r="G352" s="139" t="s">
        <v>58</v>
      </c>
      <c r="H352" s="139"/>
      <c r="I352" s="139" t="s">
        <v>562</v>
      </c>
      <c r="J352" s="139"/>
      <c r="K352" s="240"/>
      <c r="L352" s="240"/>
      <c r="M352" s="240"/>
    </row>
    <row r="353" spans="1:13" s="124" customFormat="1" ht="21.95" customHeight="1" x14ac:dyDescent="0.25">
      <c r="A353" s="256" t="s">
        <v>524</v>
      </c>
      <c r="B353" s="136" t="s">
        <v>115</v>
      </c>
      <c r="C353" s="136">
        <v>1500</v>
      </c>
      <c r="D353" s="137">
        <v>45399</v>
      </c>
      <c r="E353" s="137">
        <v>45399</v>
      </c>
      <c r="F353" s="137">
        <v>45422</v>
      </c>
      <c r="G353" s="139" t="s">
        <v>58</v>
      </c>
      <c r="H353" s="139"/>
      <c r="I353" s="139" t="s">
        <v>561</v>
      </c>
      <c r="J353" s="139"/>
      <c r="K353" s="240"/>
      <c r="L353" s="240"/>
      <c r="M353" s="240"/>
    </row>
    <row r="354" spans="1:13" s="124" customFormat="1" ht="21.95" customHeight="1" x14ac:dyDescent="0.25">
      <c r="A354" s="256" t="s">
        <v>525</v>
      </c>
      <c r="B354" s="136" t="s">
        <v>185</v>
      </c>
      <c r="C354" s="136">
        <v>1500</v>
      </c>
      <c r="D354" s="137">
        <v>45399</v>
      </c>
      <c r="E354" s="137">
        <v>45399</v>
      </c>
      <c r="F354" s="137">
        <v>45422</v>
      </c>
      <c r="G354" s="139" t="s">
        <v>58</v>
      </c>
      <c r="H354" s="139"/>
      <c r="I354" s="139" t="s">
        <v>560</v>
      </c>
      <c r="J354" s="139"/>
      <c r="K354" s="240"/>
      <c r="L354" s="240"/>
      <c r="M354" s="240"/>
    </row>
    <row r="355" spans="1:13" s="124" customFormat="1" ht="21.95" customHeight="1" x14ac:dyDescent="0.25">
      <c r="A355" s="256" t="s">
        <v>526</v>
      </c>
      <c r="B355" s="136" t="s">
        <v>30</v>
      </c>
      <c r="C355" s="136">
        <v>1500</v>
      </c>
      <c r="D355" s="137">
        <v>45399</v>
      </c>
      <c r="E355" s="137">
        <v>45399</v>
      </c>
      <c r="F355" s="137">
        <v>45422</v>
      </c>
      <c r="G355" s="139" t="s">
        <v>58</v>
      </c>
      <c r="H355" s="139"/>
      <c r="I355" s="139" t="s">
        <v>557</v>
      </c>
      <c r="J355" s="139"/>
      <c r="K355" s="240"/>
      <c r="L355" s="240"/>
      <c r="M355" s="240"/>
    </row>
    <row r="356" spans="1:13" s="124" customFormat="1" ht="21.95" customHeight="1" x14ac:dyDescent="0.25">
      <c r="A356" s="256" t="s">
        <v>527</v>
      </c>
      <c r="B356" s="136">
        <v>75</v>
      </c>
      <c r="C356" s="136">
        <v>1500</v>
      </c>
      <c r="D356" s="137">
        <v>45422</v>
      </c>
      <c r="E356" s="137">
        <v>45422</v>
      </c>
      <c r="F356" s="137">
        <v>45451</v>
      </c>
      <c r="G356" s="139" t="s">
        <v>58</v>
      </c>
      <c r="H356" s="139"/>
      <c r="I356" s="139" t="s">
        <v>575</v>
      </c>
      <c r="J356" s="139"/>
      <c r="K356" s="240"/>
      <c r="L356" s="240"/>
      <c r="M356" s="240"/>
    </row>
    <row r="357" spans="1:13" s="124" customFormat="1" ht="21.95" customHeight="1" x14ac:dyDescent="0.25">
      <c r="A357" s="256" t="s">
        <v>528</v>
      </c>
      <c r="B357" s="136">
        <v>4</v>
      </c>
      <c r="C357" s="136">
        <v>1500</v>
      </c>
      <c r="D357" s="137">
        <v>45422</v>
      </c>
      <c r="E357" s="137">
        <v>45422</v>
      </c>
      <c r="F357" s="137">
        <v>45451</v>
      </c>
      <c r="G357" s="139" t="s">
        <v>58</v>
      </c>
      <c r="H357" s="139"/>
      <c r="I357" s="139" t="s">
        <v>574</v>
      </c>
      <c r="J357" s="139"/>
      <c r="K357" s="240"/>
      <c r="L357" s="240"/>
      <c r="M357" s="240"/>
    </row>
    <row r="358" spans="1:13" s="124" customFormat="1" ht="21.95" customHeight="1" x14ac:dyDescent="0.25">
      <c r="A358" s="256" t="s">
        <v>529</v>
      </c>
      <c r="B358" s="136">
        <v>4</v>
      </c>
      <c r="C358" s="136">
        <v>1500</v>
      </c>
      <c r="D358" s="137">
        <v>45422</v>
      </c>
      <c r="E358" s="137">
        <v>45422</v>
      </c>
      <c r="F358" s="137">
        <v>45451</v>
      </c>
      <c r="G358" s="139" t="s">
        <v>58</v>
      </c>
      <c r="H358" s="139"/>
      <c r="I358" s="139" t="s">
        <v>573</v>
      </c>
      <c r="J358" s="139"/>
      <c r="K358" s="240"/>
      <c r="L358" s="240"/>
      <c r="M358" s="240"/>
    </row>
    <row r="359" spans="1:13" s="124" customFormat="1" ht="21.95" customHeight="1" x14ac:dyDescent="0.25">
      <c r="A359" s="256" t="s">
        <v>530</v>
      </c>
      <c r="B359" s="136">
        <v>4</v>
      </c>
      <c r="C359" s="136">
        <v>1500</v>
      </c>
      <c r="D359" s="137">
        <v>45422</v>
      </c>
      <c r="E359" s="137">
        <v>45422</v>
      </c>
      <c r="F359" s="137">
        <v>45451</v>
      </c>
      <c r="G359" s="139" t="s">
        <v>58</v>
      </c>
      <c r="H359" s="139"/>
      <c r="I359" s="139" t="s">
        <v>573</v>
      </c>
      <c r="J359" s="139"/>
      <c r="K359" s="240"/>
      <c r="L359" s="240"/>
      <c r="M359" s="240"/>
    </row>
    <row r="360" spans="1:13" s="124" customFormat="1" ht="21.95" customHeight="1" x14ac:dyDescent="0.25">
      <c r="A360" s="256" t="s">
        <v>531</v>
      </c>
      <c r="B360" s="136">
        <v>55</v>
      </c>
      <c r="C360" s="136">
        <v>3000</v>
      </c>
      <c r="D360" s="137">
        <v>45451</v>
      </c>
      <c r="E360" s="137">
        <v>45451</v>
      </c>
      <c r="F360" s="137">
        <v>45475</v>
      </c>
      <c r="G360" s="139" t="s">
        <v>58</v>
      </c>
      <c r="H360" s="139"/>
      <c r="I360" s="139"/>
      <c r="J360" s="139"/>
      <c r="K360" s="200"/>
      <c r="L360" s="240"/>
      <c r="M360" s="240"/>
    </row>
    <row r="361" spans="1:13" s="124" customFormat="1" ht="21.95" customHeight="1" x14ac:dyDescent="0.25">
      <c r="A361" s="256" t="s">
        <v>532</v>
      </c>
      <c r="B361" s="202" t="s">
        <v>144</v>
      </c>
      <c r="C361" s="202">
        <v>3000</v>
      </c>
      <c r="D361" s="170">
        <v>45451</v>
      </c>
      <c r="E361" s="170">
        <v>45451</v>
      </c>
      <c r="F361" s="170">
        <v>45475</v>
      </c>
      <c r="G361" s="171" t="s">
        <v>58</v>
      </c>
      <c r="H361" s="171"/>
      <c r="I361" s="171" t="s">
        <v>572</v>
      </c>
      <c r="J361" s="171"/>
      <c r="K361" s="240"/>
      <c r="L361" s="240"/>
      <c r="M361" s="240"/>
    </row>
    <row r="362" spans="1:13" s="124" customFormat="1" ht="21.95" customHeight="1" x14ac:dyDescent="0.25">
      <c r="A362" s="256" t="s">
        <v>532</v>
      </c>
      <c r="B362" s="202" t="s">
        <v>144</v>
      </c>
      <c r="C362" s="202">
        <v>3000</v>
      </c>
      <c r="D362" s="170">
        <v>45674</v>
      </c>
      <c r="E362" s="170">
        <v>45674</v>
      </c>
      <c r="F362" s="170">
        <v>45708</v>
      </c>
      <c r="G362" s="171" t="s">
        <v>58</v>
      </c>
      <c r="H362" s="171"/>
      <c r="I362" s="171" t="s">
        <v>673</v>
      </c>
      <c r="J362" s="171"/>
      <c r="K362" s="240"/>
      <c r="L362" s="240"/>
      <c r="M362" s="240"/>
    </row>
    <row r="363" spans="1:13" s="124" customFormat="1" ht="21.95" customHeight="1" x14ac:dyDescent="0.25">
      <c r="A363" s="256" t="s">
        <v>565</v>
      </c>
      <c r="B363" s="136">
        <v>4</v>
      </c>
      <c r="C363" s="136">
        <v>1500</v>
      </c>
      <c r="D363" s="138">
        <v>45475</v>
      </c>
      <c r="E363" s="138">
        <v>45475</v>
      </c>
      <c r="F363" s="137">
        <v>45495</v>
      </c>
      <c r="G363" s="139" t="s">
        <v>58</v>
      </c>
      <c r="H363" s="139"/>
      <c r="I363" s="139" t="s">
        <v>570</v>
      </c>
      <c r="J363" s="139"/>
      <c r="K363" s="240"/>
      <c r="L363" s="240"/>
      <c r="M363" s="240"/>
    </row>
    <row r="364" spans="1:13" s="124" customFormat="1" ht="21.95" customHeight="1" x14ac:dyDescent="0.25">
      <c r="A364" s="256" t="s">
        <v>566</v>
      </c>
      <c r="B364" s="136" t="s">
        <v>144</v>
      </c>
      <c r="C364" s="136">
        <v>1500</v>
      </c>
      <c r="D364" s="138">
        <v>45475</v>
      </c>
      <c r="E364" s="138">
        <v>45475</v>
      </c>
      <c r="F364" s="137">
        <v>45495</v>
      </c>
      <c r="G364" s="139" t="s">
        <v>58</v>
      </c>
      <c r="H364" s="139"/>
      <c r="I364" s="139" t="s">
        <v>569</v>
      </c>
      <c r="J364" s="139"/>
      <c r="K364" s="240"/>
      <c r="L364" s="240"/>
      <c r="M364" s="240"/>
    </row>
    <row r="365" spans="1:13" s="124" customFormat="1" ht="21.95" customHeight="1" x14ac:dyDescent="0.25">
      <c r="A365" s="256" t="s">
        <v>567</v>
      </c>
      <c r="B365" s="136" t="s">
        <v>144</v>
      </c>
      <c r="C365" s="136">
        <v>1500</v>
      </c>
      <c r="D365" s="138">
        <v>45726</v>
      </c>
      <c r="E365" s="138">
        <v>45769</v>
      </c>
      <c r="F365" s="137">
        <v>45800</v>
      </c>
      <c r="G365" s="139" t="s">
        <v>58</v>
      </c>
      <c r="H365" s="139"/>
      <c r="I365" s="139" t="s">
        <v>670</v>
      </c>
      <c r="J365" s="139"/>
      <c r="K365" s="240"/>
      <c r="L365" s="240"/>
      <c r="M365" s="240"/>
    </row>
    <row r="366" spans="1:13" s="124" customFormat="1" ht="21.95" customHeight="1" x14ac:dyDescent="0.25">
      <c r="A366" s="256" t="s">
        <v>567</v>
      </c>
      <c r="B366" s="136" t="s">
        <v>144</v>
      </c>
      <c r="C366" s="136">
        <v>1500</v>
      </c>
      <c r="D366" s="138">
        <v>45475</v>
      </c>
      <c r="E366" s="138">
        <v>45475</v>
      </c>
      <c r="F366" s="137">
        <v>45495</v>
      </c>
      <c r="G366" s="139" t="s">
        <v>58</v>
      </c>
      <c r="H366" s="139"/>
      <c r="I366" s="139" t="s">
        <v>568</v>
      </c>
      <c r="J366" s="139"/>
      <c r="K366" s="240"/>
      <c r="L366" s="240"/>
      <c r="M366" s="240"/>
    </row>
    <row r="367" spans="1:13" s="124" customFormat="1" ht="21.95" customHeight="1" x14ac:dyDescent="0.25">
      <c r="A367" s="256" t="s">
        <v>584</v>
      </c>
      <c r="B367" s="136">
        <v>4</v>
      </c>
      <c r="C367" s="136">
        <v>1500</v>
      </c>
      <c r="D367" s="137">
        <v>45495</v>
      </c>
      <c r="E367" s="137">
        <v>45495</v>
      </c>
      <c r="F367" s="137">
        <v>45532</v>
      </c>
      <c r="G367" s="139" t="s">
        <v>58</v>
      </c>
      <c r="H367" s="139"/>
      <c r="I367" s="139" t="s">
        <v>645</v>
      </c>
      <c r="J367" s="139"/>
      <c r="K367" s="240"/>
      <c r="L367" s="240"/>
      <c r="M367" s="240"/>
    </row>
    <row r="368" spans="1:13" s="124" customFormat="1" ht="21.95" customHeight="1" x14ac:dyDescent="0.25">
      <c r="A368" s="256" t="s">
        <v>585</v>
      </c>
      <c r="B368" s="136">
        <v>4</v>
      </c>
      <c r="C368" s="136">
        <v>1500</v>
      </c>
      <c r="D368" s="137">
        <v>45539</v>
      </c>
      <c r="E368" s="137">
        <v>45539</v>
      </c>
      <c r="F368" s="137">
        <v>45553</v>
      </c>
      <c r="G368" s="139" t="s">
        <v>58</v>
      </c>
      <c r="H368" s="139"/>
      <c r="I368" s="139" t="s">
        <v>653</v>
      </c>
      <c r="J368" s="139"/>
      <c r="K368" s="240"/>
      <c r="L368" s="240"/>
      <c r="M368" s="240"/>
    </row>
    <row r="369" spans="1:13" s="124" customFormat="1" ht="21.95" customHeight="1" x14ac:dyDescent="0.25">
      <c r="A369" s="256" t="s">
        <v>591</v>
      </c>
      <c r="B369" s="136" t="s">
        <v>115</v>
      </c>
      <c r="C369" s="136">
        <v>1500</v>
      </c>
      <c r="D369" s="137">
        <v>45540</v>
      </c>
      <c r="E369" s="137">
        <v>45540</v>
      </c>
      <c r="F369" s="137">
        <v>45553</v>
      </c>
      <c r="G369" s="139" t="s">
        <v>58</v>
      </c>
      <c r="H369" s="139"/>
      <c r="I369" s="139" t="s">
        <v>655</v>
      </c>
      <c r="J369" s="139"/>
      <c r="K369" s="240"/>
      <c r="L369" s="240"/>
      <c r="M369" s="240"/>
    </row>
    <row r="370" spans="1:13" s="124" customFormat="1" ht="21.95" customHeight="1" x14ac:dyDescent="0.25">
      <c r="A370" s="256" t="s">
        <v>592</v>
      </c>
      <c r="B370" s="136">
        <v>75</v>
      </c>
      <c r="C370" s="136">
        <v>1500</v>
      </c>
      <c r="D370" s="137">
        <v>45553</v>
      </c>
      <c r="E370" s="137">
        <v>45553</v>
      </c>
      <c r="F370" s="137">
        <v>45588</v>
      </c>
      <c r="G370" s="139" t="s">
        <v>58</v>
      </c>
      <c r="H370" s="139"/>
      <c r="I370" s="139" t="s">
        <v>576</v>
      </c>
      <c r="J370" s="139"/>
      <c r="K370" s="240"/>
      <c r="L370" s="240"/>
      <c r="M370" s="240"/>
    </row>
    <row r="371" spans="1:13" s="124" customFormat="1" ht="21.95" customHeight="1" x14ac:dyDescent="0.25">
      <c r="A371" s="256" t="s">
        <v>593</v>
      </c>
      <c r="B371" s="136" t="s">
        <v>298</v>
      </c>
      <c r="C371" s="136">
        <v>1500</v>
      </c>
      <c r="D371" s="137">
        <v>45553</v>
      </c>
      <c r="E371" s="137">
        <v>45553</v>
      </c>
      <c r="F371" s="137">
        <v>45588</v>
      </c>
      <c r="G371" s="139" t="s">
        <v>58</v>
      </c>
      <c r="H371" s="139"/>
      <c r="I371" s="139" t="s">
        <v>657</v>
      </c>
      <c r="J371" s="139"/>
      <c r="K371" s="240"/>
      <c r="L371" s="240"/>
      <c r="M371" s="240"/>
    </row>
    <row r="372" spans="1:13" s="124" customFormat="1" ht="21.95" customHeight="1" x14ac:dyDescent="0.25">
      <c r="A372" s="256" t="s">
        <v>594</v>
      </c>
      <c r="B372" s="136" t="s">
        <v>115</v>
      </c>
      <c r="C372" s="136">
        <v>1500</v>
      </c>
      <c r="D372" s="137">
        <v>45562</v>
      </c>
      <c r="E372" s="137">
        <v>45562</v>
      </c>
      <c r="F372" s="137">
        <v>45588</v>
      </c>
      <c r="G372" s="139" t="s">
        <v>58</v>
      </c>
      <c r="H372" s="139"/>
      <c r="I372" s="139" t="s">
        <v>563</v>
      </c>
      <c r="J372" s="139"/>
      <c r="K372" s="240"/>
      <c r="L372" s="240"/>
      <c r="M372" s="240"/>
    </row>
    <row r="373" spans="1:13" s="124" customFormat="1" ht="21.95" customHeight="1" x14ac:dyDescent="0.25">
      <c r="A373" s="256" t="s">
        <v>595</v>
      </c>
      <c r="B373" s="136">
        <v>4</v>
      </c>
      <c r="C373" s="136">
        <v>1500</v>
      </c>
      <c r="D373" s="137">
        <v>45588</v>
      </c>
      <c r="E373" s="137">
        <v>45588</v>
      </c>
      <c r="F373" s="137">
        <v>45614</v>
      </c>
      <c r="G373" s="139" t="s">
        <v>58</v>
      </c>
      <c r="H373" s="139"/>
      <c r="I373" s="139" t="s">
        <v>662</v>
      </c>
      <c r="J373" s="139"/>
      <c r="K373" s="240"/>
      <c r="L373" s="240"/>
      <c r="M373" s="240"/>
    </row>
    <row r="374" spans="1:13" s="124" customFormat="1" ht="21.95" customHeight="1" x14ac:dyDescent="0.25">
      <c r="A374" s="256" t="s">
        <v>596</v>
      </c>
      <c r="B374" s="136" t="s">
        <v>30</v>
      </c>
      <c r="C374" s="136">
        <v>1500</v>
      </c>
      <c r="D374" s="137">
        <v>45588</v>
      </c>
      <c r="E374" s="137">
        <v>45588</v>
      </c>
      <c r="F374" s="137">
        <v>45614</v>
      </c>
      <c r="G374" s="139" t="s">
        <v>58</v>
      </c>
      <c r="H374" s="139"/>
      <c r="I374" s="139" t="s">
        <v>658</v>
      </c>
      <c r="J374" s="139"/>
      <c r="K374" s="240"/>
      <c r="L374" s="240"/>
      <c r="M374" s="240"/>
    </row>
    <row r="375" spans="1:13" s="124" customFormat="1" ht="21.95" customHeight="1" x14ac:dyDescent="0.25">
      <c r="A375" s="256" t="s">
        <v>597</v>
      </c>
      <c r="B375" s="136" t="s">
        <v>115</v>
      </c>
      <c r="C375" s="136">
        <v>1500</v>
      </c>
      <c r="D375" s="137">
        <v>45588</v>
      </c>
      <c r="E375" s="137">
        <v>45588</v>
      </c>
      <c r="F375" s="137">
        <v>45614</v>
      </c>
      <c r="G375" s="139" t="s">
        <v>58</v>
      </c>
      <c r="H375" s="139"/>
      <c r="I375" s="139" t="s">
        <v>660</v>
      </c>
      <c r="J375" s="139"/>
      <c r="K375" s="240"/>
      <c r="L375" s="240"/>
      <c r="M375" s="240"/>
    </row>
    <row r="376" spans="1:13" s="124" customFormat="1" ht="21.95" customHeight="1" x14ac:dyDescent="0.25">
      <c r="A376" s="256" t="s">
        <v>598</v>
      </c>
      <c r="B376" s="136">
        <v>32</v>
      </c>
      <c r="C376" s="136">
        <v>1500</v>
      </c>
      <c r="D376" s="137">
        <v>45588</v>
      </c>
      <c r="E376" s="137">
        <v>45588</v>
      </c>
      <c r="F376" s="137">
        <v>45614</v>
      </c>
      <c r="G376" s="139" t="s">
        <v>58</v>
      </c>
      <c r="H376" s="139"/>
      <c r="I376" s="139" t="s">
        <v>664</v>
      </c>
      <c r="J376" s="139"/>
      <c r="K376" s="240"/>
      <c r="L376" s="240"/>
      <c r="M376" s="240"/>
    </row>
    <row r="377" spans="1:13" s="124" customFormat="1" ht="21.95" customHeight="1" x14ac:dyDescent="0.25">
      <c r="A377" s="256" t="s">
        <v>599</v>
      </c>
      <c r="B377" s="136"/>
      <c r="C377" s="136"/>
      <c r="D377" s="137"/>
      <c r="E377" s="137"/>
      <c r="F377" s="137"/>
      <c r="G377" s="139"/>
      <c r="H377" s="139"/>
      <c r="I377" s="139"/>
      <c r="J377" s="139"/>
      <c r="K377" s="240"/>
      <c r="L377" s="240"/>
      <c r="M377" s="240"/>
    </row>
    <row r="378" spans="1:13" s="124" customFormat="1" ht="21.95" customHeight="1" x14ac:dyDescent="0.25">
      <c r="A378" s="256" t="s">
        <v>600</v>
      </c>
      <c r="B378" s="136"/>
      <c r="C378" s="136"/>
      <c r="D378" s="137"/>
      <c r="E378" s="137"/>
      <c r="F378" s="137"/>
      <c r="G378" s="139"/>
      <c r="H378" s="139"/>
      <c r="I378" s="139"/>
      <c r="J378" s="139"/>
      <c r="K378" s="240"/>
      <c r="L378" s="240"/>
      <c r="M378" s="240"/>
    </row>
    <row r="379" spans="1:13" s="124" customFormat="1" ht="21.95" customHeight="1" x14ac:dyDescent="0.25">
      <c r="A379" s="256" t="s">
        <v>601</v>
      </c>
      <c r="B379" s="136"/>
      <c r="C379" s="136"/>
      <c r="D379" s="137"/>
      <c r="E379" s="137"/>
      <c r="F379" s="137"/>
      <c r="G379" s="139"/>
      <c r="H379" s="139"/>
      <c r="I379" s="139"/>
      <c r="J379" s="139"/>
      <c r="K379" s="240"/>
      <c r="L379" s="240"/>
      <c r="M379" s="240"/>
    </row>
    <row r="380" spans="1:13" s="124" customFormat="1" ht="21.95" customHeight="1" x14ac:dyDescent="0.25">
      <c r="A380" s="256" t="s">
        <v>602</v>
      </c>
      <c r="B380" s="136"/>
      <c r="C380" s="136"/>
      <c r="D380" s="137"/>
      <c r="E380" s="137"/>
      <c r="F380" s="137"/>
      <c r="G380" s="139"/>
      <c r="H380" s="139"/>
      <c r="I380" s="139"/>
      <c r="J380" s="139"/>
      <c r="K380" s="240"/>
      <c r="L380" s="240"/>
      <c r="M380" s="240"/>
    </row>
    <row r="381" spans="1:13" s="124" customFormat="1" ht="21.95" customHeight="1" x14ac:dyDescent="0.25">
      <c r="A381" s="256" t="s">
        <v>603</v>
      </c>
      <c r="B381" s="136"/>
      <c r="C381" s="136"/>
      <c r="D381" s="137"/>
      <c r="E381" s="137"/>
      <c r="F381" s="137"/>
      <c r="G381" s="139"/>
      <c r="H381" s="139"/>
      <c r="I381" s="139"/>
      <c r="J381" s="139"/>
      <c r="K381" s="240"/>
      <c r="L381" s="240"/>
      <c r="M381" s="240"/>
    </row>
    <row r="382" spans="1:13" s="124" customFormat="1" ht="21.95" customHeight="1" x14ac:dyDescent="0.25">
      <c r="A382" s="256" t="s">
        <v>604</v>
      </c>
      <c r="B382" s="136"/>
      <c r="C382" s="136"/>
      <c r="D382" s="137"/>
      <c r="E382" s="137"/>
      <c r="F382" s="137"/>
      <c r="G382" s="139"/>
      <c r="H382" s="139"/>
      <c r="I382" s="139"/>
      <c r="J382" s="139"/>
      <c r="K382" s="240"/>
      <c r="L382" s="240"/>
      <c r="M382" s="240"/>
    </row>
    <row r="383" spans="1:13" s="124" customFormat="1" ht="21.95" customHeight="1" x14ac:dyDescent="0.25">
      <c r="A383" s="256" t="s">
        <v>605</v>
      </c>
      <c r="B383" s="281" t="s">
        <v>680</v>
      </c>
      <c r="C383" s="282"/>
      <c r="D383" s="137">
        <v>45726</v>
      </c>
      <c r="E383" s="138">
        <v>45769</v>
      </c>
      <c r="F383" s="138">
        <v>45800</v>
      </c>
      <c r="G383" s="139" t="s">
        <v>58</v>
      </c>
      <c r="H383" s="139"/>
      <c r="I383" s="139" t="s">
        <v>713</v>
      </c>
      <c r="J383" s="139"/>
      <c r="K383" s="240"/>
      <c r="L383" s="240"/>
      <c r="M383" s="240"/>
    </row>
    <row r="384" spans="1:13" s="124" customFormat="1" ht="21.95" customHeight="1" x14ac:dyDescent="0.25">
      <c r="A384" s="256" t="s">
        <v>606</v>
      </c>
      <c r="B384" s="136" t="s">
        <v>60</v>
      </c>
      <c r="C384" s="136">
        <v>1500</v>
      </c>
      <c r="D384" s="137">
        <v>45588</v>
      </c>
      <c r="E384" s="137">
        <v>45588</v>
      </c>
      <c r="F384" s="137">
        <v>45614</v>
      </c>
      <c r="G384" s="139" t="s">
        <v>58</v>
      </c>
      <c r="H384" s="139"/>
      <c r="I384" s="139" t="s">
        <v>667</v>
      </c>
      <c r="J384" s="139"/>
      <c r="K384" s="240"/>
      <c r="L384" s="240"/>
      <c r="M384" s="240"/>
    </row>
    <row r="385" spans="1:13" s="124" customFormat="1" ht="21.95" customHeight="1" x14ac:dyDescent="0.25">
      <c r="A385" s="256" t="s">
        <v>607</v>
      </c>
      <c r="B385" s="136"/>
      <c r="C385" s="136"/>
      <c r="D385" s="137"/>
      <c r="E385" s="137"/>
      <c r="F385" s="137"/>
      <c r="G385" s="139"/>
      <c r="H385" s="139"/>
      <c r="I385" s="139"/>
      <c r="J385" s="139"/>
      <c r="K385" s="240"/>
      <c r="L385" s="240"/>
      <c r="M385" s="240"/>
    </row>
    <row r="386" spans="1:13" s="124" customFormat="1" ht="21.95" customHeight="1" x14ac:dyDescent="0.25">
      <c r="A386" s="256" t="s">
        <v>608</v>
      </c>
      <c r="B386" s="136"/>
      <c r="C386" s="136"/>
      <c r="D386" s="137"/>
      <c r="E386" s="137"/>
      <c r="F386" s="137"/>
      <c r="G386" s="139"/>
      <c r="H386" s="139"/>
      <c r="I386" s="139"/>
      <c r="J386" s="139"/>
      <c r="K386" s="240"/>
      <c r="L386" s="240"/>
      <c r="M386" s="240"/>
    </row>
    <row r="387" spans="1:13" s="124" customFormat="1" ht="21.95" customHeight="1" x14ac:dyDescent="0.25">
      <c r="A387" s="242" t="s">
        <v>609</v>
      </c>
      <c r="B387" s="136" t="s">
        <v>144</v>
      </c>
      <c r="C387" s="136">
        <v>1500</v>
      </c>
      <c r="D387" s="137"/>
      <c r="E387" s="137">
        <v>45708</v>
      </c>
      <c r="F387" s="137">
        <v>45740</v>
      </c>
      <c r="G387" s="139" t="s">
        <v>58</v>
      </c>
      <c r="H387" s="139"/>
      <c r="I387" s="199" t="s">
        <v>686</v>
      </c>
      <c r="J387" s="139"/>
      <c r="K387" s="240"/>
      <c r="L387" s="240"/>
      <c r="M387" s="240"/>
    </row>
    <row r="388" spans="1:13" s="124" customFormat="1" ht="21.95" customHeight="1" x14ac:dyDescent="0.25">
      <c r="A388" s="256" t="s">
        <v>610</v>
      </c>
      <c r="B388" s="136"/>
      <c r="C388" s="136"/>
      <c r="D388" s="137"/>
      <c r="E388" s="137"/>
      <c r="F388" s="137"/>
      <c r="G388" s="139"/>
      <c r="H388" s="139"/>
      <c r="I388" s="139"/>
      <c r="J388" s="139"/>
      <c r="K388" s="240"/>
      <c r="L388" s="240"/>
      <c r="M388" s="240"/>
    </row>
    <row r="389" spans="1:13" s="124" customFormat="1" ht="21.95" customHeight="1" x14ac:dyDescent="0.25">
      <c r="A389" s="256" t="s">
        <v>611</v>
      </c>
      <c r="B389" s="136"/>
      <c r="C389" s="136"/>
      <c r="D389" s="137"/>
      <c r="E389" s="137"/>
      <c r="F389" s="137"/>
      <c r="G389" s="139"/>
      <c r="H389" s="139"/>
      <c r="I389" s="139"/>
      <c r="J389" s="139"/>
      <c r="K389" s="240"/>
      <c r="L389" s="240"/>
      <c r="M389" s="240"/>
    </row>
    <row r="390" spans="1:13" s="124" customFormat="1" ht="21.95" customHeight="1" x14ac:dyDescent="0.25">
      <c r="A390" s="256" t="s">
        <v>612</v>
      </c>
      <c r="B390" s="136"/>
      <c r="C390" s="136"/>
      <c r="D390" s="137"/>
      <c r="E390" s="137"/>
      <c r="F390" s="137"/>
      <c r="G390" s="139"/>
      <c r="H390" s="139"/>
      <c r="I390" s="139"/>
      <c r="J390" s="139"/>
      <c r="K390" s="240"/>
      <c r="L390" s="240"/>
      <c r="M390" s="240"/>
    </row>
    <row r="391" spans="1:13" s="124" customFormat="1" ht="21.95" customHeight="1" x14ac:dyDescent="0.25">
      <c r="A391" s="256" t="s">
        <v>613</v>
      </c>
      <c r="B391" s="136">
        <v>2.2000000000000002</v>
      </c>
      <c r="C391" s="136">
        <v>1500</v>
      </c>
      <c r="D391" s="137">
        <v>45726</v>
      </c>
      <c r="E391" s="137">
        <v>45769</v>
      </c>
      <c r="F391" s="137">
        <v>45800</v>
      </c>
      <c r="G391" s="139"/>
      <c r="H391" s="139"/>
      <c r="I391" s="233" t="s">
        <v>698</v>
      </c>
      <c r="J391" s="139"/>
      <c r="K391" s="240"/>
      <c r="L391" s="240"/>
      <c r="M391" s="240"/>
    </row>
    <row r="392" spans="1:13" s="124" customFormat="1" ht="21.95" customHeight="1" x14ac:dyDescent="0.25">
      <c r="A392" s="256" t="s">
        <v>614</v>
      </c>
      <c r="B392" s="136"/>
      <c r="C392" s="136"/>
      <c r="D392" s="137"/>
      <c r="E392" s="137"/>
      <c r="F392" s="137"/>
      <c r="G392" s="139"/>
      <c r="H392" s="139"/>
      <c r="I392" s="139"/>
      <c r="J392" s="139" t="s">
        <v>668</v>
      </c>
      <c r="K392" s="240"/>
      <c r="L392" s="240"/>
      <c r="M392" s="240"/>
    </row>
    <row r="393" spans="1:13" s="124" customFormat="1" ht="21.95" customHeight="1" x14ac:dyDescent="0.25">
      <c r="A393" s="256" t="s">
        <v>615</v>
      </c>
      <c r="B393" s="136"/>
      <c r="C393" s="136"/>
      <c r="D393" s="137"/>
      <c r="E393" s="137"/>
      <c r="F393" s="137"/>
      <c r="G393" s="139"/>
      <c r="H393" s="139"/>
      <c r="I393" s="139"/>
      <c r="J393" s="139"/>
      <c r="K393" s="240"/>
      <c r="L393" s="240"/>
      <c r="M393" s="240"/>
    </row>
    <row r="394" spans="1:13" s="124" customFormat="1" ht="21.95" customHeight="1" x14ac:dyDescent="0.25">
      <c r="A394" s="256" t="s">
        <v>616</v>
      </c>
      <c r="B394" s="136"/>
      <c r="C394" s="136"/>
      <c r="D394" s="137"/>
      <c r="E394" s="137"/>
      <c r="F394" s="137"/>
      <c r="G394" s="139"/>
      <c r="H394" s="139"/>
      <c r="I394" s="139"/>
      <c r="J394" s="139"/>
      <c r="K394" s="240"/>
      <c r="L394" s="240"/>
      <c r="M394" s="240"/>
    </row>
    <row r="395" spans="1:13" s="124" customFormat="1" ht="21.95" customHeight="1" x14ac:dyDescent="0.25">
      <c r="A395" s="256" t="s">
        <v>617</v>
      </c>
      <c r="B395" s="136"/>
      <c r="C395" s="136"/>
      <c r="D395" s="137"/>
      <c r="E395" s="137"/>
      <c r="F395" s="137"/>
      <c r="G395" s="139"/>
      <c r="H395" s="139"/>
      <c r="I395" s="139"/>
      <c r="J395" s="139"/>
      <c r="K395" s="240"/>
      <c r="L395" s="240"/>
      <c r="M395" s="240"/>
    </row>
    <row r="396" spans="1:13" s="124" customFormat="1" ht="21.95" customHeight="1" x14ac:dyDescent="0.25">
      <c r="A396" s="256" t="s">
        <v>618</v>
      </c>
      <c r="B396" s="136"/>
      <c r="C396" s="136"/>
      <c r="D396" s="137"/>
      <c r="E396" s="137"/>
      <c r="F396" s="137"/>
      <c r="G396" s="139"/>
      <c r="H396" s="139"/>
      <c r="I396" s="139"/>
      <c r="J396" s="139"/>
      <c r="K396" s="240"/>
      <c r="L396" s="240"/>
      <c r="M396" s="240"/>
    </row>
    <row r="397" spans="1:13" s="124" customFormat="1" ht="21.95" customHeight="1" x14ac:dyDescent="0.25">
      <c r="A397" s="256" t="s">
        <v>619</v>
      </c>
      <c r="B397" s="136">
        <v>1.5</v>
      </c>
      <c r="C397" s="136">
        <v>1500</v>
      </c>
      <c r="D397" s="137">
        <v>45726</v>
      </c>
      <c r="E397" s="137">
        <v>45769</v>
      </c>
      <c r="F397" s="137">
        <v>45800</v>
      </c>
      <c r="G397" s="139" t="s">
        <v>58</v>
      </c>
      <c r="H397" s="139"/>
      <c r="I397" s="234" t="s">
        <v>697</v>
      </c>
      <c r="J397" s="139"/>
      <c r="K397" s="240"/>
      <c r="L397" s="240"/>
      <c r="M397" s="240"/>
    </row>
    <row r="398" spans="1:13" s="124" customFormat="1" ht="21.95" customHeight="1" x14ac:dyDescent="0.25">
      <c r="A398" s="256" t="s">
        <v>620</v>
      </c>
      <c r="B398" s="136"/>
      <c r="C398" s="136"/>
      <c r="D398" s="137"/>
      <c r="E398" s="137"/>
      <c r="F398" s="137"/>
      <c r="G398" s="139"/>
      <c r="H398" s="139"/>
      <c r="I398" s="139"/>
      <c r="J398" s="139"/>
      <c r="K398" s="240"/>
      <c r="L398" s="240"/>
      <c r="M398" s="240"/>
    </row>
    <row r="399" spans="1:13" s="124" customFormat="1" ht="21.95" customHeight="1" x14ac:dyDescent="0.25">
      <c r="A399" s="256" t="s">
        <v>621</v>
      </c>
      <c r="B399" s="136"/>
      <c r="C399" s="136"/>
      <c r="D399" s="137"/>
      <c r="E399" s="137"/>
      <c r="F399" s="137"/>
      <c r="G399" s="139"/>
      <c r="H399" s="139"/>
      <c r="I399" s="139"/>
      <c r="J399" s="139"/>
      <c r="K399" s="240"/>
      <c r="L399" s="240"/>
      <c r="M399" s="240"/>
    </row>
    <row r="400" spans="1:13" s="124" customFormat="1" ht="21.95" customHeight="1" x14ac:dyDescent="0.25">
      <c r="A400" s="256" t="s">
        <v>622</v>
      </c>
      <c r="B400" s="136"/>
      <c r="C400" s="136"/>
      <c r="D400" s="137"/>
      <c r="E400" s="137"/>
      <c r="F400" s="137"/>
      <c r="G400" s="139"/>
      <c r="H400" s="139"/>
      <c r="I400" s="139"/>
      <c r="J400" s="139"/>
      <c r="K400" s="240"/>
      <c r="L400" s="240"/>
      <c r="M400" s="240"/>
    </row>
    <row r="401" spans="1:13" s="124" customFormat="1" ht="21.95" customHeight="1" x14ac:dyDescent="0.25">
      <c r="A401" s="256" t="s">
        <v>623</v>
      </c>
      <c r="B401" s="136"/>
      <c r="C401" s="136"/>
      <c r="D401" s="137"/>
      <c r="E401" s="137"/>
      <c r="F401" s="137"/>
      <c r="G401" s="139"/>
      <c r="H401" s="139"/>
      <c r="I401" s="139"/>
      <c r="J401" s="139"/>
      <c r="K401" s="240"/>
      <c r="L401" s="240"/>
      <c r="M401" s="240"/>
    </row>
    <row r="402" spans="1:13" s="124" customFormat="1" ht="21.95" customHeight="1" x14ac:dyDescent="0.25">
      <c r="A402" s="256" t="s">
        <v>624</v>
      </c>
      <c r="B402" s="136">
        <v>37</v>
      </c>
      <c r="C402" s="136">
        <v>3000</v>
      </c>
      <c r="D402" s="137"/>
      <c r="E402" s="137">
        <v>45674</v>
      </c>
      <c r="F402" s="137">
        <v>45708</v>
      </c>
      <c r="G402" s="199" t="s">
        <v>58</v>
      </c>
      <c r="H402" s="139"/>
      <c r="I402" s="199" t="s">
        <v>671</v>
      </c>
      <c r="J402" s="139"/>
      <c r="K402" s="240"/>
      <c r="L402" s="240"/>
      <c r="M402" s="240"/>
    </row>
    <row r="403" spans="1:13" s="124" customFormat="1" ht="21.95" customHeight="1" x14ac:dyDescent="0.25">
      <c r="A403" s="256" t="s">
        <v>625</v>
      </c>
      <c r="B403" s="202" t="s">
        <v>669</v>
      </c>
      <c r="C403" s="202">
        <v>1500</v>
      </c>
      <c r="D403" s="170"/>
      <c r="E403" s="170">
        <v>45674</v>
      </c>
      <c r="F403" s="170">
        <v>45708</v>
      </c>
      <c r="G403" s="220" t="s">
        <v>58</v>
      </c>
      <c r="H403" s="171"/>
      <c r="I403" s="220" t="s">
        <v>670</v>
      </c>
      <c r="J403" s="171"/>
      <c r="K403" s="261"/>
      <c r="L403" s="240"/>
      <c r="M403" s="240"/>
    </row>
    <row r="404" spans="1:13" s="124" customFormat="1" ht="21.95" customHeight="1" x14ac:dyDescent="0.25">
      <c r="A404" s="256" t="s">
        <v>626</v>
      </c>
      <c r="B404" s="281" t="s">
        <v>680</v>
      </c>
      <c r="C404" s="282"/>
      <c r="D404" s="137"/>
      <c r="E404" s="137">
        <v>45674</v>
      </c>
      <c r="F404" s="137">
        <v>45708</v>
      </c>
      <c r="G404" s="199" t="s">
        <v>58</v>
      </c>
      <c r="H404" s="139"/>
      <c r="I404" s="199" t="s">
        <v>681</v>
      </c>
      <c r="J404" s="139"/>
      <c r="K404" s="240"/>
      <c r="L404" s="240"/>
      <c r="M404" s="240"/>
    </row>
    <row r="405" spans="1:13" s="124" customFormat="1" ht="21.95" customHeight="1" x14ac:dyDescent="0.25">
      <c r="A405" s="242" t="s">
        <v>627</v>
      </c>
      <c r="B405" s="136" t="s">
        <v>30</v>
      </c>
      <c r="C405" s="136">
        <v>1500</v>
      </c>
      <c r="D405" s="137"/>
      <c r="E405" s="137">
        <v>45708</v>
      </c>
      <c r="F405" s="137">
        <v>45740</v>
      </c>
      <c r="G405" s="199" t="s">
        <v>58</v>
      </c>
      <c r="H405" s="139"/>
      <c r="I405" s="199" t="s">
        <v>687</v>
      </c>
      <c r="J405" s="139"/>
      <c r="K405" s="240"/>
      <c r="L405" s="240"/>
      <c r="M405" s="240"/>
    </row>
    <row r="406" spans="1:13" s="124" customFormat="1" ht="21.95" customHeight="1" x14ac:dyDescent="0.25">
      <c r="A406" s="242" t="s">
        <v>628</v>
      </c>
      <c r="B406" s="136">
        <v>15</v>
      </c>
      <c r="C406" s="136">
        <v>3000</v>
      </c>
      <c r="D406" s="137"/>
      <c r="E406" s="137">
        <v>45708</v>
      </c>
      <c r="F406" s="137">
        <v>45740</v>
      </c>
      <c r="G406" s="199" t="s">
        <v>58</v>
      </c>
      <c r="H406" s="139"/>
      <c r="I406" s="199" t="s">
        <v>696</v>
      </c>
      <c r="J406" s="139"/>
      <c r="K406" s="240"/>
      <c r="L406" s="240"/>
      <c r="M406" s="240"/>
    </row>
    <row r="407" spans="1:13" s="124" customFormat="1" ht="21.95" customHeight="1" x14ac:dyDescent="0.25">
      <c r="A407" s="242" t="s">
        <v>629</v>
      </c>
      <c r="B407" s="136">
        <v>0.75</v>
      </c>
      <c r="C407" s="136">
        <v>3000</v>
      </c>
      <c r="D407" s="137"/>
      <c r="E407" s="137">
        <v>45708</v>
      </c>
      <c r="F407" s="137">
        <v>45740</v>
      </c>
      <c r="G407" s="199" t="s">
        <v>58</v>
      </c>
      <c r="H407" s="139"/>
      <c r="I407" s="199" t="s">
        <v>691</v>
      </c>
      <c r="J407" s="139"/>
      <c r="K407" s="240"/>
      <c r="L407" s="240"/>
      <c r="M407" s="240"/>
    </row>
    <row r="408" spans="1:13" s="124" customFormat="1" ht="21.95" customHeight="1" x14ac:dyDescent="0.25">
      <c r="A408" s="242" t="s">
        <v>630</v>
      </c>
      <c r="B408" s="136" t="s">
        <v>115</v>
      </c>
      <c r="C408" s="136">
        <v>1500</v>
      </c>
      <c r="D408" s="137"/>
      <c r="E408" s="137">
        <v>45708</v>
      </c>
      <c r="F408" s="137">
        <v>45740</v>
      </c>
      <c r="G408" s="199" t="s">
        <v>58</v>
      </c>
      <c r="H408" s="139"/>
      <c r="I408" s="199" t="s">
        <v>692</v>
      </c>
      <c r="J408" s="139"/>
      <c r="K408" s="240"/>
      <c r="L408" s="240"/>
      <c r="M408" s="240"/>
    </row>
    <row r="409" spans="1:13" s="124" customFormat="1" ht="21.95" customHeight="1" x14ac:dyDescent="0.25">
      <c r="A409" s="242" t="s">
        <v>631</v>
      </c>
      <c r="B409" s="136">
        <v>4</v>
      </c>
      <c r="C409" s="136">
        <v>1500</v>
      </c>
      <c r="D409" s="137"/>
      <c r="E409" s="137">
        <v>45708</v>
      </c>
      <c r="F409" s="137">
        <v>45740</v>
      </c>
      <c r="G409" s="199" t="s">
        <v>58</v>
      </c>
      <c r="H409" s="139"/>
      <c r="I409" s="199" t="s">
        <v>689</v>
      </c>
      <c r="J409" s="139"/>
      <c r="K409" s="240"/>
      <c r="L409" s="240"/>
      <c r="M409" s="240"/>
    </row>
    <row r="410" spans="1:13" s="124" customFormat="1" ht="21.95" customHeight="1" x14ac:dyDescent="0.25">
      <c r="A410" s="242" t="s">
        <v>632</v>
      </c>
      <c r="B410" s="136" t="s">
        <v>676</v>
      </c>
      <c r="C410" s="136">
        <v>1500</v>
      </c>
      <c r="D410" s="137"/>
      <c r="E410" s="137">
        <v>45708</v>
      </c>
      <c r="F410" s="137">
        <v>45740</v>
      </c>
      <c r="G410" s="199" t="s">
        <v>58</v>
      </c>
      <c r="H410" s="139"/>
      <c r="I410" s="199" t="s">
        <v>690</v>
      </c>
      <c r="J410" s="139"/>
      <c r="K410" s="240"/>
      <c r="L410" s="240"/>
      <c r="M410" s="240"/>
    </row>
    <row r="411" spans="1:13" s="124" customFormat="1" ht="21.95" customHeight="1" x14ac:dyDescent="0.25">
      <c r="A411" s="242" t="s">
        <v>633</v>
      </c>
      <c r="B411" s="283" t="s">
        <v>693</v>
      </c>
      <c r="C411" s="284"/>
      <c r="D411" s="137"/>
      <c r="E411" s="137">
        <v>45708</v>
      </c>
      <c r="F411" s="137">
        <v>45740</v>
      </c>
      <c r="G411" s="139"/>
      <c r="H411" s="139"/>
      <c r="I411" s="139"/>
      <c r="J411" s="139"/>
      <c r="K411" s="240"/>
      <c r="L411" s="240"/>
      <c r="M411" s="240"/>
    </row>
    <row r="412" spans="1:13" s="124" customFormat="1" ht="21.95" customHeight="1" x14ac:dyDescent="0.25">
      <c r="A412" s="256" t="s">
        <v>634</v>
      </c>
      <c r="B412" s="136"/>
      <c r="C412" s="136"/>
      <c r="D412" s="137"/>
      <c r="E412" s="137"/>
      <c r="F412" s="137"/>
      <c r="G412" s="139"/>
      <c r="H412" s="139"/>
      <c r="I412" s="139"/>
      <c r="J412" s="139"/>
      <c r="K412" s="240"/>
      <c r="L412" s="240"/>
      <c r="M412" s="240"/>
    </row>
    <row r="413" spans="1:13" s="124" customFormat="1" ht="21.95" customHeight="1" x14ac:dyDescent="0.25">
      <c r="A413" s="256" t="s">
        <v>635</v>
      </c>
      <c r="B413" s="136"/>
      <c r="C413" s="136"/>
      <c r="D413" s="137"/>
      <c r="E413" s="137"/>
      <c r="F413" s="137"/>
      <c r="G413" s="139"/>
      <c r="H413" s="139"/>
      <c r="I413" s="139"/>
      <c r="J413" s="139"/>
      <c r="K413" s="240"/>
      <c r="L413" s="240"/>
      <c r="M413" s="240"/>
    </row>
    <row r="414" spans="1:13" s="124" customFormat="1" ht="21.95" customHeight="1" x14ac:dyDescent="0.25">
      <c r="A414" s="256" t="s">
        <v>636</v>
      </c>
      <c r="B414" s="136"/>
      <c r="C414" s="136"/>
      <c r="D414" s="137"/>
      <c r="E414" s="137"/>
      <c r="F414" s="137"/>
      <c r="G414" s="139"/>
      <c r="H414" s="139"/>
      <c r="I414" s="139"/>
      <c r="J414" s="139"/>
      <c r="K414" s="240"/>
      <c r="L414" s="240"/>
      <c r="M414" s="240"/>
    </row>
    <row r="415" spans="1:13" s="124" customFormat="1" ht="21.95" customHeight="1" x14ac:dyDescent="0.25">
      <c r="A415" s="256" t="s">
        <v>637</v>
      </c>
      <c r="B415" s="136"/>
      <c r="C415" s="136"/>
      <c r="D415" s="137"/>
      <c r="E415" s="137"/>
      <c r="F415" s="137"/>
      <c r="G415" s="139"/>
      <c r="H415" s="139"/>
      <c r="I415" s="139"/>
      <c r="J415" s="262"/>
      <c r="K415" s="240"/>
      <c r="L415" s="240"/>
      <c r="M415" s="240"/>
    </row>
    <row r="416" spans="1:13" s="124" customFormat="1" ht="21.95" customHeight="1" x14ac:dyDescent="0.25">
      <c r="A416" s="263" t="s">
        <v>638</v>
      </c>
      <c r="B416" s="192"/>
      <c r="C416" s="192"/>
      <c r="D416" s="264"/>
      <c r="E416" s="264"/>
      <c r="F416" s="264"/>
      <c r="G416" s="265"/>
      <c r="H416" s="265"/>
      <c r="I416" s="265"/>
      <c r="J416" s="266"/>
      <c r="K416" s="240"/>
      <c r="L416" s="240"/>
      <c r="M416" s="240"/>
    </row>
    <row r="417" spans="1:12" s="124" customFormat="1" ht="21.95" customHeight="1" x14ac:dyDescent="0.25">
      <c r="A417" s="267" t="s">
        <v>694</v>
      </c>
      <c r="B417" s="277" t="s">
        <v>693</v>
      </c>
      <c r="C417" s="278"/>
      <c r="D417" s="268"/>
      <c r="E417" s="268"/>
      <c r="F417" s="268"/>
      <c r="G417" s="269"/>
      <c r="H417" s="269"/>
      <c r="I417" s="269"/>
      <c r="J417" s="270"/>
      <c r="L417" s="126"/>
    </row>
    <row r="418" spans="1:12" s="124" customFormat="1" ht="21.95" customHeight="1" x14ac:dyDescent="0.25">
      <c r="A418" s="271" t="s">
        <v>695</v>
      </c>
      <c r="B418" s="232">
        <v>3</v>
      </c>
      <c r="C418" s="232">
        <v>1500</v>
      </c>
      <c r="D418" s="272"/>
      <c r="E418" s="272">
        <v>45738</v>
      </c>
      <c r="F418" s="272">
        <v>45742</v>
      </c>
      <c r="G418" s="273" t="s">
        <v>42</v>
      </c>
      <c r="H418" s="232"/>
      <c r="I418" s="232"/>
      <c r="J418" s="273"/>
      <c r="L418" s="126"/>
    </row>
    <row r="419" spans="1:12" s="124" customFormat="1" ht="21.95" customHeight="1" x14ac:dyDescent="0.25">
      <c r="A419" s="271" t="s">
        <v>702</v>
      </c>
      <c r="B419" s="232">
        <v>11</v>
      </c>
      <c r="C419" s="232">
        <v>3000</v>
      </c>
      <c r="D419" s="272">
        <v>45726</v>
      </c>
      <c r="E419" s="138">
        <v>45769</v>
      </c>
      <c r="F419" s="138">
        <v>45800</v>
      </c>
      <c r="G419" s="199" t="s">
        <v>58</v>
      </c>
      <c r="H419" s="232"/>
      <c r="I419" s="232" t="s">
        <v>710</v>
      </c>
      <c r="J419" s="273"/>
      <c r="L419" s="126"/>
    </row>
    <row r="420" spans="1:12" s="124" customFormat="1" ht="21.95" customHeight="1" x14ac:dyDescent="0.25">
      <c r="A420" s="271" t="s">
        <v>703</v>
      </c>
      <c r="B420" s="232">
        <v>90</v>
      </c>
      <c r="C420" s="232">
        <v>1500</v>
      </c>
      <c r="D420" s="272">
        <v>45726</v>
      </c>
      <c r="E420" s="272">
        <v>45769</v>
      </c>
      <c r="F420" s="272">
        <v>45800</v>
      </c>
      <c r="G420" s="199" t="s">
        <v>58</v>
      </c>
      <c r="H420" s="232"/>
      <c r="I420" s="232" t="s">
        <v>712</v>
      </c>
      <c r="J420" s="273"/>
      <c r="L420" s="126"/>
    </row>
    <row r="421" spans="1:12" s="124" customFormat="1" ht="21.95" customHeight="1" x14ac:dyDescent="0.25">
      <c r="A421" s="271" t="s">
        <v>704</v>
      </c>
      <c r="B421" s="232">
        <v>15</v>
      </c>
      <c r="C421" s="232">
        <v>3000</v>
      </c>
      <c r="D421" s="272">
        <v>45726</v>
      </c>
      <c r="E421" s="138">
        <v>45769</v>
      </c>
      <c r="F421" s="138">
        <v>45800</v>
      </c>
      <c r="G421" s="199" t="s">
        <v>58</v>
      </c>
      <c r="H421" s="232"/>
      <c r="I421" s="232" t="s">
        <v>711</v>
      </c>
      <c r="J421" s="273"/>
      <c r="L421" s="126"/>
    </row>
    <row r="422" spans="1:12" s="124" customFormat="1" ht="21.95" customHeight="1" x14ac:dyDescent="0.25">
      <c r="A422" s="271" t="s">
        <v>705</v>
      </c>
      <c r="B422" s="277" t="s">
        <v>693</v>
      </c>
      <c r="C422" s="278"/>
      <c r="D422" s="272">
        <v>45726</v>
      </c>
      <c r="E422" s="138">
        <v>45769</v>
      </c>
      <c r="F422" s="138">
        <v>45800</v>
      </c>
      <c r="G422" s="199" t="s">
        <v>58</v>
      </c>
      <c r="H422" s="232"/>
      <c r="I422" s="232" t="s">
        <v>713</v>
      </c>
      <c r="J422" s="273"/>
      <c r="L422" s="126"/>
    </row>
    <row r="423" spans="1:12" s="124" customFormat="1" ht="21.95" customHeight="1" x14ac:dyDescent="0.25">
      <c r="A423" s="271" t="s">
        <v>706</v>
      </c>
      <c r="B423" s="277" t="s">
        <v>714</v>
      </c>
      <c r="C423" s="278"/>
      <c r="D423" s="272">
        <v>45726</v>
      </c>
      <c r="E423" s="138">
        <v>45769</v>
      </c>
      <c r="F423" s="138">
        <v>45800</v>
      </c>
      <c r="G423" s="199" t="s">
        <v>58</v>
      </c>
      <c r="H423" s="232"/>
      <c r="I423" s="232" t="s">
        <v>713</v>
      </c>
      <c r="J423" s="273"/>
      <c r="L423" s="126"/>
    </row>
    <row r="424" spans="1:12" s="124" customFormat="1" ht="21.95" customHeight="1" x14ac:dyDescent="0.25">
      <c r="A424" s="271" t="s">
        <v>707</v>
      </c>
      <c r="B424" s="232">
        <v>4</v>
      </c>
      <c r="C424" s="232">
        <v>1500</v>
      </c>
      <c r="D424" s="272">
        <v>45726</v>
      </c>
      <c r="E424" s="138">
        <v>45769</v>
      </c>
      <c r="F424" s="138">
        <v>45800</v>
      </c>
      <c r="G424" s="199" t="s">
        <v>58</v>
      </c>
      <c r="H424" s="232"/>
      <c r="I424" s="232" t="s">
        <v>709</v>
      </c>
      <c r="J424" s="273"/>
      <c r="L424" s="126"/>
    </row>
    <row r="425" spans="1:12" s="124" customFormat="1" ht="21.95" customHeight="1" x14ac:dyDescent="0.25">
      <c r="A425" s="271" t="s">
        <v>708</v>
      </c>
      <c r="B425" s="232">
        <v>2.2000000000000002</v>
      </c>
      <c r="C425" s="232">
        <v>1500</v>
      </c>
      <c r="D425" s="272">
        <v>45726</v>
      </c>
      <c r="E425" s="138">
        <v>45769</v>
      </c>
      <c r="F425" s="138">
        <v>45800</v>
      </c>
      <c r="G425" s="199" t="s">
        <v>58</v>
      </c>
      <c r="H425" s="232"/>
      <c r="I425" s="232" t="s">
        <v>715</v>
      </c>
      <c r="J425" s="273"/>
      <c r="L425" s="126"/>
    </row>
    <row r="426" spans="1:12" s="124" customFormat="1" ht="21.95" customHeight="1" x14ac:dyDescent="0.25">
      <c r="A426" s="271" t="s">
        <v>716</v>
      </c>
      <c r="B426" s="232">
        <v>7.5</v>
      </c>
      <c r="C426" s="232">
        <v>3000</v>
      </c>
      <c r="D426" s="272">
        <v>45726</v>
      </c>
      <c r="E426" s="138">
        <v>45769</v>
      </c>
      <c r="F426" s="138">
        <v>45800</v>
      </c>
      <c r="G426" s="199" t="s">
        <v>58</v>
      </c>
      <c r="H426" s="232"/>
      <c r="I426" s="232" t="s">
        <v>718</v>
      </c>
      <c r="J426" s="273"/>
      <c r="L426" s="126"/>
    </row>
    <row r="427" spans="1:12" s="124" customFormat="1" ht="21.95" customHeight="1" x14ac:dyDescent="0.25">
      <c r="A427" s="271" t="s">
        <v>717</v>
      </c>
      <c r="B427" s="232">
        <v>2.2000000000000002</v>
      </c>
      <c r="C427" s="232">
        <v>1500</v>
      </c>
      <c r="D427" s="272">
        <v>45726</v>
      </c>
      <c r="E427" s="138">
        <v>45769</v>
      </c>
      <c r="F427" s="138">
        <v>45800</v>
      </c>
      <c r="G427" s="199" t="s">
        <v>58</v>
      </c>
      <c r="H427" s="232"/>
      <c r="I427" s="232" t="s">
        <v>719</v>
      </c>
      <c r="J427" s="273"/>
      <c r="L427" s="126"/>
    </row>
    <row r="428" spans="1:12" s="124" customFormat="1" ht="21.95" customHeight="1" x14ac:dyDescent="0.25">
      <c r="A428" s="271" t="s">
        <v>720</v>
      </c>
      <c r="B428" s="277" t="s">
        <v>780</v>
      </c>
      <c r="C428" s="278"/>
      <c r="D428" s="272">
        <v>45726</v>
      </c>
      <c r="E428" s="272">
        <v>45769</v>
      </c>
      <c r="F428" s="272">
        <v>45800</v>
      </c>
      <c r="G428" s="232" t="s">
        <v>58</v>
      </c>
      <c r="H428" s="232"/>
      <c r="I428" s="232" t="s">
        <v>713</v>
      </c>
      <c r="J428" s="273"/>
      <c r="K428" s="274"/>
      <c r="L428" s="126"/>
    </row>
    <row r="429" spans="1:12" s="124" customFormat="1" ht="21.95" customHeight="1" x14ac:dyDescent="0.25">
      <c r="A429" s="271" t="s">
        <v>721</v>
      </c>
      <c r="B429" s="277" t="s">
        <v>781</v>
      </c>
      <c r="C429" s="278"/>
      <c r="D429" s="272">
        <v>45726</v>
      </c>
      <c r="E429" s="272">
        <v>45769</v>
      </c>
      <c r="F429" s="272">
        <v>45800</v>
      </c>
      <c r="G429" s="232" t="s">
        <v>58</v>
      </c>
      <c r="H429" s="232"/>
      <c r="I429" s="232" t="s">
        <v>713</v>
      </c>
      <c r="J429" s="273"/>
      <c r="K429" s="274"/>
      <c r="L429" s="126"/>
    </row>
    <row r="430" spans="1:12" s="124" customFormat="1" ht="21.95" customHeight="1" x14ac:dyDescent="0.25">
      <c r="A430" s="271" t="s">
        <v>722</v>
      </c>
      <c r="B430" s="232">
        <v>55</v>
      </c>
      <c r="C430" s="232">
        <v>3000</v>
      </c>
      <c r="D430" s="272">
        <v>45726</v>
      </c>
      <c r="E430" s="272">
        <v>45769</v>
      </c>
      <c r="F430" s="272">
        <v>45800</v>
      </c>
      <c r="G430" s="232" t="s">
        <v>58</v>
      </c>
      <c r="H430" s="232"/>
      <c r="I430" s="232" t="s">
        <v>782</v>
      </c>
      <c r="J430" s="273"/>
      <c r="K430" s="274"/>
      <c r="L430" s="126"/>
    </row>
    <row r="431" spans="1:12" s="124" customFormat="1" ht="21.95" customHeight="1" x14ac:dyDescent="0.25">
      <c r="A431" s="271" t="s">
        <v>937</v>
      </c>
      <c r="B431" s="232">
        <v>2.2000000000000002</v>
      </c>
      <c r="C431" s="232">
        <v>1500</v>
      </c>
      <c r="D431" s="272">
        <v>45726</v>
      </c>
      <c r="E431" s="272">
        <v>45769</v>
      </c>
      <c r="F431" s="272">
        <v>45800</v>
      </c>
      <c r="G431" s="232" t="s">
        <v>58</v>
      </c>
      <c r="H431" s="232"/>
      <c r="I431" s="232" t="s">
        <v>871</v>
      </c>
      <c r="J431" s="273"/>
      <c r="K431" s="274"/>
      <c r="L431" s="126"/>
    </row>
    <row r="432" spans="1:12" s="124" customFormat="1" ht="21.95" customHeight="1" x14ac:dyDescent="0.25">
      <c r="A432" s="271" t="s">
        <v>938</v>
      </c>
      <c r="B432" s="277" t="s">
        <v>864</v>
      </c>
      <c r="C432" s="278"/>
      <c r="D432" s="272">
        <v>45726</v>
      </c>
      <c r="E432" s="272">
        <v>45769</v>
      </c>
      <c r="F432" s="272">
        <v>45800</v>
      </c>
      <c r="G432" s="232" t="s">
        <v>58</v>
      </c>
      <c r="H432" s="232"/>
      <c r="I432" s="232" t="s">
        <v>713</v>
      </c>
      <c r="J432" s="273"/>
      <c r="K432" s="274"/>
      <c r="L432" s="126"/>
    </row>
    <row r="433" spans="1:12" s="124" customFormat="1" ht="21.95" customHeight="1" x14ac:dyDescent="0.25">
      <c r="A433" s="271" t="s">
        <v>724</v>
      </c>
      <c r="B433" s="232">
        <v>4</v>
      </c>
      <c r="C433" s="232">
        <v>1500</v>
      </c>
      <c r="D433" s="272"/>
      <c r="E433" s="272"/>
      <c r="F433" s="272"/>
      <c r="G433" s="273"/>
      <c r="H433" s="232"/>
      <c r="I433" s="232" t="s">
        <v>783</v>
      </c>
      <c r="J433" s="273"/>
      <c r="K433" s="274"/>
      <c r="L433" s="126"/>
    </row>
    <row r="434" spans="1:12" s="124" customFormat="1" ht="21.95" customHeight="1" x14ac:dyDescent="0.25">
      <c r="A434" s="271" t="s">
        <v>725</v>
      </c>
      <c r="B434" s="232">
        <v>55</v>
      </c>
      <c r="C434" s="232">
        <v>1500</v>
      </c>
      <c r="D434" s="272"/>
      <c r="E434" s="272"/>
      <c r="F434" s="272"/>
      <c r="G434" s="273"/>
      <c r="H434" s="232"/>
      <c r="I434" s="232" t="s">
        <v>564</v>
      </c>
      <c r="J434" s="273"/>
      <c r="K434" s="274"/>
      <c r="L434" s="126"/>
    </row>
    <row r="435" spans="1:12" s="124" customFormat="1" ht="21.95" customHeight="1" x14ac:dyDescent="0.25">
      <c r="A435" s="271" t="s">
        <v>726</v>
      </c>
      <c r="B435" s="232">
        <v>55</v>
      </c>
      <c r="C435" s="232">
        <v>3500</v>
      </c>
      <c r="D435" s="272"/>
      <c r="E435" s="272"/>
      <c r="F435" s="272"/>
      <c r="G435" s="273"/>
      <c r="H435" s="232"/>
      <c r="I435" s="232" t="s">
        <v>785</v>
      </c>
      <c r="J435" s="273" t="s">
        <v>784</v>
      </c>
      <c r="K435" s="274"/>
      <c r="L435" s="126"/>
    </row>
    <row r="436" spans="1:12" s="124" customFormat="1" ht="21.95" customHeight="1" x14ac:dyDescent="0.25">
      <c r="A436" s="271" t="s">
        <v>727</v>
      </c>
      <c r="B436" s="232"/>
      <c r="C436" s="232"/>
      <c r="D436" s="272"/>
      <c r="E436" s="272"/>
      <c r="F436" s="272"/>
      <c r="G436" s="273"/>
      <c r="H436" s="232"/>
      <c r="I436" s="232"/>
      <c r="J436" s="273"/>
      <c r="K436" s="274"/>
      <c r="L436" s="126"/>
    </row>
    <row r="437" spans="1:12" s="124" customFormat="1" ht="21.95" customHeight="1" x14ac:dyDescent="0.25">
      <c r="A437" s="271" t="s">
        <v>728</v>
      </c>
      <c r="B437" s="232"/>
      <c r="C437" s="232"/>
      <c r="D437" s="272"/>
      <c r="E437" s="272"/>
      <c r="F437" s="272"/>
      <c r="G437" s="273"/>
      <c r="H437" s="232"/>
      <c r="I437" s="232"/>
      <c r="J437" s="273"/>
      <c r="K437" s="274"/>
      <c r="L437" s="126"/>
    </row>
    <row r="438" spans="1:12" s="124" customFormat="1" ht="21.95" customHeight="1" x14ac:dyDescent="0.25">
      <c r="A438" s="271" t="s">
        <v>729</v>
      </c>
      <c r="B438" s="232"/>
      <c r="C438" s="232"/>
      <c r="D438" s="272"/>
      <c r="E438" s="272"/>
      <c r="F438" s="272"/>
      <c r="G438" s="273"/>
      <c r="H438" s="232"/>
      <c r="I438" s="232"/>
      <c r="J438" s="273"/>
      <c r="K438" s="274"/>
      <c r="L438" s="126"/>
    </row>
    <row r="439" spans="1:12" s="124" customFormat="1" ht="21.95" customHeight="1" x14ac:dyDescent="0.25">
      <c r="A439" s="271" t="s">
        <v>730</v>
      </c>
      <c r="B439" s="232"/>
      <c r="C439" s="232"/>
      <c r="D439" s="272"/>
      <c r="E439" s="272"/>
      <c r="F439" s="272"/>
      <c r="G439" s="273"/>
      <c r="H439" s="232"/>
      <c r="I439" s="232"/>
      <c r="J439" s="273"/>
      <c r="K439" s="274"/>
      <c r="L439" s="126"/>
    </row>
    <row r="440" spans="1:12" s="124" customFormat="1" ht="21.95" customHeight="1" x14ac:dyDescent="0.25">
      <c r="A440" s="271" t="s">
        <v>731</v>
      </c>
      <c r="B440" s="232"/>
      <c r="C440" s="232"/>
      <c r="D440" s="272"/>
      <c r="E440" s="272"/>
      <c r="F440" s="272"/>
      <c r="G440" s="273"/>
      <c r="H440" s="232"/>
      <c r="I440" s="232"/>
      <c r="J440" s="273"/>
      <c r="K440" s="274"/>
      <c r="L440" s="126"/>
    </row>
    <row r="441" spans="1:12" s="124" customFormat="1" ht="21.95" customHeight="1" x14ac:dyDescent="0.25">
      <c r="A441" s="271" t="s">
        <v>732</v>
      </c>
      <c r="B441" s="232"/>
      <c r="C441" s="232"/>
      <c r="D441" s="272"/>
      <c r="E441" s="272"/>
      <c r="F441" s="272"/>
      <c r="G441" s="273"/>
      <c r="H441" s="232"/>
      <c r="I441" s="232"/>
      <c r="J441" s="273"/>
      <c r="K441" s="274"/>
      <c r="L441" s="126"/>
    </row>
    <row r="442" spans="1:12" s="124" customFormat="1" ht="21.95" customHeight="1" x14ac:dyDescent="0.25">
      <c r="A442" s="271" t="s">
        <v>733</v>
      </c>
      <c r="B442" s="232"/>
      <c r="C442" s="232"/>
      <c r="D442" s="272"/>
      <c r="E442" s="272"/>
      <c r="F442" s="272"/>
      <c r="G442" s="273"/>
      <c r="H442" s="232"/>
      <c r="I442" s="232"/>
      <c r="J442" s="273"/>
      <c r="K442" s="274"/>
      <c r="L442" s="126"/>
    </row>
    <row r="443" spans="1:12" s="124" customFormat="1" ht="21.95" customHeight="1" x14ac:dyDescent="0.25">
      <c r="A443" s="271" t="s">
        <v>734</v>
      </c>
      <c r="B443" s="232"/>
      <c r="C443" s="232"/>
      <c r="D443" s="272"/>
      <c r="E443" s="272"/>
      <c r="F443" s="272"/>
      <c r="G443" s="273"/>
      <c r="H443" s="232"/>
      <c r="I443" s="232"/>
      <c r="J443" s="273"/>
      <c r="K443" s="274"/>
      <c r="L443" s="126"/>
    </row>
    <row r="444" spans="1:12" s="124" customFormat="1" ht="21.95" customHeight="1" x14ac:dyDescent="0.25">
      <c r="A444" s="271" t="s">
        <v>735</v>
      </c>
      <c r="B444" s="232"/>
      <c r="C444" s="232"/>
      <c r="D444" s="272"/>
      <c r="E444" s="272"/>
      <c r="F444" s="272"/>
      <c r="G444" s="273"/>
      <c r="H444" s="232"/>
      <c r="I444" s="232"/>
      <c r="J444" s="273"/>
      <c r="K444" s="274"/>
      <c r="L444" s="126"/>
    </row>
    <row r="445" spans="1:12" s="124" customFormat="1" ht="21.95" customHeight="1" x14ac:dyDescent="0.25">
      <c r="A445" s="271" t="s">
        <v>736</v>
      </c>
      <c r="B445" s="232"/>
      <c r="C445" s="232"/>
      <c r="D445" s="272"/>
      <c r="E445" s="272"/>
      <c r="F445" s="272"/>
      <c r="G445" s="273"/>
      <c r="H445" s="232"/>
      <c r="I445" s="232"/>
      <c r="J445" s="273"/>
      <c r="K445" s="274"/>
      <c r="L445" s="126"/>
    </row>
    <row r="446" spans="1:12" s="124" customFormat="1" ht="21.95" customHeight="1" x14ac:dyDescent="0.25">
      <c r="A446" s="271" t="s">
        <v>737</v>
      </c>
      <c r="B446" s="232"/>
      <c r="C446" s="232"/>
      <c r="D446" s="272"/>
      <c r="E446" s="272"/>
      <c r="F446" s="272"/>
      <c r="G446" s="273"/>
      <c r="H446" s="232"/>
      <c r="I446" s="232"/>
      <c r="J446" s="273"/>
      <c r="K446" s="274"/>
      <c r="L446" s="126"/>
    </row>
    <row r="447" spans="1:12" s="124" customFormat="1" ht="21.95" customHeight="1" x14ac:dyDescent="0.25">
      <c r="A447" s="271" t="s">
        <v>738</v>
      </c>
      <c r="B447" s="232"/>
      <c r="C447" s="232"/>
      <c r="D447" s="272"/>
      <c r="E447" s="272"/>
      <c r="F447" s="272"/>
      <c r="G447" s="273"/>
      <c r="H447" s="232"/>
      <c r="I447" s="232"/>
      <c r="J447" s="273"/>
      <c r="K447" s="274"/>
      <c r="L447" s="126"/>
    </row>
    <row r="448" spans="1:12" s="124" customFormat="1" ht="21.95" customHeight="1" x14ac:dyDescent="0.25">
      <c r="A448" s="271" t="s">
        <v>739</v>
      </c>
      <c r="B448" s="232"/>
      <c r="C448" s="232"/>
      <c r="D448" s="272"/>
      <c r="E448" s="272"/>
      <c r="F448" s="272"/>
      <c r="G448" s="273"/>
      <c r="H448" s="232"/>
      <c r="I448" s="232"/>
      <c r="J448" s="273"/>
      <c r="K448" s="274"/>
      <c r="L448" s="126"/>
    </row>
    <row r="449" spans="1:12" s="124" customFormat="1" ht="21.95" customHeight="1" x14ac:dyDescent="0.25">
      <c r="A449" s="271" t="s">
        <v>740</v>
      </c>
      <c r="B449" s="232"/>
      <c r="C449" s="232"/>
      <c r="D449" s="272"/>
      <c r="E449" s="272"/>
      <c r="F449" s="272"/>
      <c r="G449" s="273"/>
      <c r="H449" s="232"/>
      <c r="I449" s="232"/>
      <c r="J449" s="273"/>
      <c r="K449" s="274"/>
      <c r="L449" s="126"/>
    </row>
    <row r="450" spans="1:12" s="124" customFormat="1" ht="21.95" customHeight="1" x14ac:dyDescent="0.25">
      <c r="A450" s="271" t="s">
        <v>741</v>
      </c>
      <c r="B450" s="232"/>
      <c r="C450" s="232"/>
      <c r="D450" s="272"/>
      <c r="E450" s="272"/>
      <c r="F450" s="272"/>
      <c r="G450" s="273"/>
      <c r="H450" s="232"/>
      <c r="I450" s="232"/>
      <c r="J450" s="273"/>
      <c r="K450" s="274"/>
      <c r="L450" s="126"/>
    </row>
    <row r="451" spans="1:12" s="124" customFormat="1" ht="21.95" customHeight="1" x14ac:dyDescent="0.25">
      <c r="A451" s="271" t="s">
        <v>742</v>
      </c>
      <c r="B451" s="232"/>
      <c r="C451" s="232"/>
      <c r="D451" s="272"/>
      <c r="E451" s="272"/>
      <c r="F451" s="272"/>
      <c r="G451" s="273"/>
      <c r="H451" s="232"/>
      <c r="I451" s="232"/>
      <c r="J451" s="273"/>
      <c r="K451" s="274"/>
      <c r="L451" s="126"/>
    </row>
    <row r="452" spans="1:12" s="124" customFormat="1" ht="21.95" customHeight="1" x14ac:dyDescent="0.25">
      <c r="A452" s="271" t="s">
        <v>743</v>
      </c>
      <c r="B452" s="232"/>
      <c r="C452" s="232"/>
      <c r="D452" s="272"/>
      <c r="E452" s="272"/>
      <c r="F452" s="272"/>
      <c r="G452" s="273"/>
      <c r="H452" s="232"/>
      <c r="I452" s="232"/>
      <c r="J452" s="273"/>
      <c r="K452" s="274"/>
      <c r="L452" s="126"/>
    </row>
    <row r="453" spans="1:12" s="124" customFormat="1" ht="21.95" customHeight="1" x14ac:dyDescent="0.25">
      <c r="A453" s="271" t="s">
        <v>744</v>
      </c>
      <c r="B453" s="232"/>
      <c r="C453" s="232"/>
      <c r="D453" s="272"/>
      <c r="E453" s="272"/>
      <c r="F453" s="272"/>
      <c r="G453" s="273"/>
      <c r="H453" s="232"/>
      <c r="I453" s="232"/>
      <c r="J453" s="273"/>
      <c r="K453" s="274"/>
      <c r="L453" s="126"/>
    </row>
    <row r="454" spans="1:12" s="124" customFormat="1" ht="21.95" customHeight="1" x14ac:dyDescent="0.25">
      <c r="A454" s="271" t="s">
        <v>745</v>
      </c>
      <c r="B454" s="232"/>
      <c r="C454" s="232"/>
      <c r="D454" s="272"/>
      <c r="E454" s="272"/>
      <c r="F454" s="272"/>
      <c r="G454" s="273"/>
      <c r="H454" s="232"/>
      <c r="I454" s="232"/>
      <c r="J454" s="273"/>
      <c r="K454" s="274"/>
      <c r="L454" s="126"/>
    </row>
    <row r="455" spans="1:12" s="124" customFormat="1" ht="21.95" customHeight="1" x14ac:dyDescent="0.25">
      <c r="A455" s="271" t="s">
        <v>746</v>
      </c>
      <c r="B455" s="232"/>
      <c r="C455" s="232"/>
      <c r="D455" s="272"/>
      <c r="E455" s="272"/>
      <c r="F455" s="272"/>
      <c r="G455" s="273"/>
      <c r="H455" s="232"/>
      <c r="I455" s="232"/>
      <c r="J455" s="273"/>
      <c r="K455" s="274"/>
      <c r="L455" s="126"/>
    </row>
    <row r="456" spans="1:12" s="124" customFormat="1" ht="21.95" customHeight="1" x14ac:dyDescent="0.25">
      <c r="A456" s="271" t="s">
        <v>747</v>
      </c>
      <c r="B456" s="232"/>
      <c r="C456" s="232"/>
      <c r="D456" s="272"/>
      <c r="E456" s="272"/>
      <c r="F456" s="272"/>
      <c r="G456" s="273"/>
      <c r="H456" s="232"/>
      <c r="I456" s="232"/>
      <c r="J456" s="273"/>
      <c r="K456" s="274"/>
      <c r="L456" s="126"/>
    </row>
    <row r="457" spans="1:12" s="124" customFormat="1" ht="21.95" customHeight="1" x14ac:dyDescent="0.25">
      <c r="A457" s="271" t="s">
        <v>748</v>
      </c>
      <c r="B457" s="232"/>
      <c r="C457" s="232"/>
      <c r="D457" s="272"/>
      <c r="E457" s="272"/>
      <c r="F457" s="272"/>
      <c r="G457" s="273"/>
      <c r="H457" s="232"/>
      <c r="I457" s="232"/>
      <c r="J457" s="273"/>
      <c r="K457" s="274"/>
      <c r="L457" s="126"/>
    </row>
    <row r="458" spans="1:12" s="124" customFormat="1" ht="21.95" customHeight="1" x14ac:dyDescent="0.25">
      <c r="A458" s="271" t="s">
        <v>749</v>
      </c>
      <c r="B458" s="232"/>
      <c r="C458" s="232"/>
      <c r="D458" s="272"/>
      <c r="E458" s="272"/>
      <c r="F458" s="272"/>
      <c r="G458" s="273"/>
      <c r="H458" s="232"/>
      <c r="I458" s="232"/>
      <c r="J458" s="273"/>
      <c r="K458" s="274"/>
      <c r="L458" s="126"/>
    </row>
    <row r="459" spans="1:12" s="124" customFormat="1" ht="21.95" customHeight="1" x14ac:dyDescent="0.25">
      <c r="A459" s="271" t="s">
        <v>750</v>
      </c>
      <c r="B459" s="232"/>
      <c r="C459" s="232"/>
      <c r="D459" s="272"/>
      <c r="E459" s="272"/>
      <c r="F459" s="272"/>
      <c r="G459" s="273"/>
      <c r="H459" s="232"/>
      <c r="I459" s="232"/>
      <c r="J459" s="273"/>
      <c r="K459" s="274"/>
      <c r="L459" s="126"/>
    </row>
    <row r="460" spans="1:12" s="124" customFormat="1" ht="21.95" customHeight="1" x14ac:dyDescent="0.25">
      <c r="A460" s="271" t="s">
        <v>751</v>
      </c>
      <c r="B460" s="232"/>
      <c r="C460" s="232"/>
      <c r="D460" s="272"/>
      <c r="E460" s="272"/>
      <c r="F460" s="272"/>
      <c r="G460" s="273"/>
      <c r="H460" s="232"/>
      <c r="I460" s="232"/>
      <c r="J460" s="273"/>
      <c r="K460" s="274"/>
      <c r="L460" s="126"/>
    </row>
    <row r="461" spans="1:12" s="124" customFormat="1" ht="21.95" customHeight="1" x14ac:dyDescent="0.25">
      <c r="A461" s="271" t="s">
        <v>752</v>
      </c>
      <c r="B461" s="232"/>
      <c r="C461" s="232"/>
      <c r="D461" s="272"/>
      <c r="E461" s="272"/>
      <c r="F461" s="272"/>
      <c r="G461" s="273"/>
      <c r="H461" s="232"/>
      <c r="I461" s="232"/>
      <c r="J461" s="273"/>
      <c r="K461" s="274"/>
      <c r="L461" s="126"/>
    </row>
    <row r="462" spans="1:12" s="124" customFormat="1" ht="21.95" customHeight="1" x14ac:dyDescent="0.25">
      <c r="A462" s="271" t="s">
        <v>753</v>
      </c>
      <c r="B462" s="232"/>
      <c r="C462" s="232"/>
      <c r="D462" s="272"/>
      <c r="E462" s="272"/>
      <c r="F462" s="272"/>
      <c r="G462" s="273"/>
      <c r="H462" s="232"/>
      <c r="I462" s="232"/>
      <c r="J462" s="273"/>
      <c r="K462" s="274"/>
      <c r="L462" s="126"/>
    </row>
    <row r="463" spans="1:12" s="124" customFormat="1" ht="21.95" customHeight="1" x14ac:dyDescent="0.25">
      <c r="A463" s="271" t="s">
        <v>754</v>
      </c>
      <c r="B463" s="232"/>
      <c r="C463" s="232"/>
      <c r="D463" s="272"/>
      <c r="E463" s="272"/>
      <c r="F463" s="272"/>
      <c r="G463" s="273"/>
      <c r="H463" s="232"/>
      <c r="I463" s="232"/>
      <c r="J463" s="273"/>
      <c r="K463" s="274"/>
      <c r="L463" s="126"/>
    </row>
    <row r="464" spans="1:12" s="124" customFormat="1" ht="21.95" customHeight="1" x14ac:dyDescent="0.25">
      <c r="A464" s="271" t="s">
        <v>755</v>
      </c>
      <c r="B464" s="232"/>
      <c r="C464" s="232"/>
      <c r="D464" s="272"/>
      <c r="E464" s="272"/>
      <c r="F464" s="272"/>
      <c r="G464" s="273"/>
      <c r="H464" s="232"/>
      <c r="I464" s="232"/>
      <c r="J464" s="273"/>
      <c r="K464" s="274"/>
      <c r="L464" s="126"/>
    </row>
    <row r="465" spans="1:12" s="124" customFormat="1" ht="21.95" customHeight="1" x14ac:dyDescent="0.25">
      <c r="A465" s="271" t="s">
        <v>756</v>
      </c>
      <c r="B465" s="232"/>
      <c r="C465" s="232"/>
      <c r="D465" s="272"/>
      <c r="E465" s="272"/>
      <c r="F465" s="272"/>
      <c r="G465" s="273"/>
      <c r="H465" s="232"/>
      <c r="I465" s="232"/>
      <c r="J465" s="273"/>
      <c r="K465" s="274"/>
      <c r="L465" s="126"/>
    </row>
    <row r="466" spans="1:12" s="124" customFormat="1" ht="21.95" customHeight="1" x14ac:dyDescent="0.25">
      <c r="A466" s="271" t="s">
        <v>757</v>
      </c>
      <c r="B466" s="232"/>
      <c r="C466" s="232"/>
      <c r="D466" s="272"/>
      <c r="E466" s="272"/>
      <c r="F466" s="272"/>
      <c r="G466" s="273"/>
      <c r="H466" s="232"/>
      <c r="I466" s="232"/>
      <c r="J466" s="273"/>
      <c r="K466" s="274"/>
      <c r="L466" s="126"/>
    </row>
    <row r="467" spans="1:12" s="124" customFormat="1" ht="21.95" customHeight="1" x14ac:dyDescent="0.25">
      <c r="A467" s="271" t="s">
        <v>758</v>
      </c>
      <c r="B467" s="232"/>
      <c r="C467" s="232"/>
      <c r="D467" s="272"/>
      <c r="E467" s="272"/>
      <c r="F467" s="272"/>
      <c r="G467" s="273"/>
      <c r="H467" s="232"/>
      <c r="I467" s="232"/>
      <c r="J467" s="273"/>
      <c r="K467" s="274"/>
      <c r="L467" s="126"/>
    </row>
    <row r="468" spans="1:12" s="124" customFormat="1" ht="21.95" customHeight="1" x14ac:dyDescent="0.25">
      <c r="A468" s="271" t="s">
        <v>759</v>
      </c>
      <c r="B468" s="232"/>
      <c r="C468" s="232"/>
      <c r="D468" s="272"/>
      <c r="E468" s="272"/>
      <c r="F468" s="272"/>
      <c r="G468" s="273"/>
      <c r="H468" s="232"/>
      <c r="I468" s="232"/>
      <c r="J468" s="273"/>
      <c r="K468" s="274"/>
      <c r="L468" s="126"/>
    </row>
    <row r="469" spans="1:12" s="124" customFormat="1" ht="21.95" customHeight="1" x14ac:dyDescent="0.25">
      <c r="A469" s="271" t="s">
        <v>760</v>
      </c>
      <c r="B469" s="232"/>
      <c r="C469" s="232"/>
      <c r="D469" s="272"/>
      <c r="E469" s="272"/>
      <c r="F469" s="272"/>
      <c r="G469" s="273"/>
      <c r="H469" s="232"/>
      <c r="I469" s="232"/>
      <c r="J469" s="273"/>
      <c r="K469" s="274"/>
      <c r="L469" s="126"/>
    </row>
    <row r="470" spans="1:12" s="124" customFormat="1" ht="21.95" customHeight="1" x14ac:dyDescent="0.25">
      <c r="A470" s="271" t="s">
        <v>761</v>
      </c>
      <c r="B470" s="232"/>
      <c r="C470" s="232"/>
      <c r="D470" s="272"/>
      <c r="E470" s="272"/>
      <c r="F470" s="272"/>
      <c r="G470" s="273"/>
      <c r="H470" s="232"/>
      <c r="I470" s="232"/>
      <c r="J470" s="273"/>
      <c r="K470" s="274"/>
      <c r="L470" s="126"/>
    </row>
    <row r="471" spans="1:12" s="124" customFormat="1" ht="21.95" customHeight="1" x14ac:dyDescent="0.25">
      <c r="A471" s="271" t="s">
        <v>762</v>
      </c>
      <c r="B471" s="232"/>
      <c r="C471" s="232"/>
      <c r="D471" s="272"/>
      <c r="E471" s="272"/>
      <c r="F471" s="272"/>
      <c r="G471" s="273"/>
      <c r="H471" s="232"/>
      <c r="I471" s="232"/>
      <c r="J471" s="273"/>
      <c r="K471" s="274"/>
      <c r="L471" s="126"/>
    </row>
    <row r="472" spans="1:12" s="124" customFormat="1" ht="21.95" customHeight="1" x14ac:dyDescent="0.25">
      <c r="A472" s="271" t="s">
        <v>763</v>
      </c>
      <c r="B472" s="232"/>
      <c r="C472" s="232"/>
      <c r="D472" s="272"/>
      <c r="E472" s="272"/>
      <c r="F472" s="272"/>
      <c r="G472" s="273"/>
      <c r="H472" s="232"/>
      <c r="I472" s="232"/>
      <c r="J472" s="273"/>
      <c r="K472" s="274"/>
      <c r="L472" s="126"/>
    </row>
    <row r="473" spans="1:12" s="124" customFormat="1" ht="21.95" customHeight="1" x14ac:dyDescent="0.25">
      <c r="A473" s="271" t="s">
        <v>764</v>
      </c>
      <c r="B473" s="232"/>
      <c r="C473" s="232"/>
      <c r="D473" s="272"/>
      <c r="E473" s="272"/>
      <c r="F473" s="272"/>
      <c r="G473" s="273"/>
      <c r="H473" s="232"/>
      <c r="I473" s="232"/>
      <c r="J473" s="273"/>
      <c r="K473" s="274"/>
      <c r="L473" s="126"/>
    </row>
    <row r="474" spans="1:12" s="124" customFormat="1" ht="21.95" customHeight="1" x14ac:dyDescent="0.25">
      <c r="A474" s="271" t="s">
        <v>765</v>
      </c>
      <c r="B474" s="232"/>
      <c r="C474" s="232"/>
      <c r="D474" s="272"/>
      <c r="E474" s="272"/>
      <c r="F474" s="272"/>
      <c r="G474" s="273"/>
      <c r="H474" s="232"/>
      <c r="I474" s="232"/>
      <c r="J474" s="273"/>
      <c r="K474" s="274"/>
      <c r="L474" s="126"/>
    </row>
    <row r="475" spans="1:12" s="124" customFormat="1" ht="21.95" customHeight="1" x14ac:dyDescent="0.25">
      <c r="A475" s="271" t="s">
        <v>766</v>
      </c>
      <c r="B475" s="232"/>
      <c r="C475" s="232"/>
      <c r="D475" s="272"/>
      <c r="E475" s="272"/>
      <c r="F475" s="272"/>
      <c r="G475" s="273"/>
      <c r="H475" s="232"/>
      <c r="I475" s="232"/>
      <c r="J475" s="273"/>
      <c r="K475" s="274"/>
      <c r="L475" s="126"/>
    </row>
    <row r="476" spans="1:12" s="124" customFormat="1" ht="21.95" customHeight="1" x14ac:dyDescent="0.25">
      <c r="A476" s="271" t="s">
        <v>767</v>
      </c>
      <c r="B476" s="232"/>
      <c r="C476" s="232"/>
      <c r="D476" s="272"/>
      <c r="E476" s="272"/>
      <c r="F476" s="272"/>
      <c r="G476" s="273"/>
      <c r="H476" s="232"/>
      <c r="I476" s="232"/>
      <c r="J476" s="273"/>
      <c r="K476" s="274"/>
      <c r="L476" s="126"/>
    </row>
    <row r="477" spans="1:12" s="124" customFormat="1" ht="21.95" customHeight="1" x14ac:dyDescent="0.25">
      <c r="A477" s="271" t="s">
        <v>768</v>
      </c>
      <c r="B477" s="232"/>
      <c r="C477" s="232"/>
      <c r="D477" s="272"/>
      <c r="E477" s="272"/>
      <c r="F477" s="272"/>
      <c r="G477" s="273"/>
      <c r="H477" s="232"/>
      <c r="I477" s="232"/>
      <c r="J477" s="273"/>
      <c r="K477" s="274"/>
      <c r="L477" s="126"/>
    </row>
    <row r="478" spans="1:12" s="124" customFormat="1" ht="21.95" customHeight="1" x14ac:dyDescent="0.25">
      <c r="A478" s="271" t="s">
        <v>769</v>
      </c>
      <c r="B478" s="232"/>
      <c r="C478" s="232"/>
      <c r="D478" s="272"/>
      <c r="E478" s="272"/>
      <c r="F478" s="272"/>
      <c r="G478" s="273"/>
      <c r="H478" s="232"/>
      <c r="I478" s="232"/>
      <c r="J478" s="273"/>
      <c r="K478" s="274"/>
      <c r="L478" s="126"/>
    </row>
    <row r="479" spans="1:12" s="124" customFormat="1" ht="21.95" customHeight="1" x14ac:dyDescent="0.25">
      <c r="A479" s="271" t="s">
        <v>770</v>
      </c>
      <c r="B479" s="232"/>
      <c r="C479" s="232"/>
      <c r="D479" s="272"/>
      <c r="E479" s="272"/>
      <c r="F479" s="272"/>
      <c r="G479" s="273"/>
      <c r="H479" s="232"/>
      <c r="I479" s="232"/>
      <c r="J479" s="273"/>
      <c r="K479" s="274"/>
      <c r="L479" s="126"/>
    </row>
    <row r="480" spans="1:12" s="124" customFormat="1" ht="21.95" customHeight="1" x14ac:dyDescent="0.25">
      <c r="A480" s="271" t="s">
        <v>771</v>
      </c>
      <c r="B480" s="232"/>
      <c r="C480" s="232"/>
      <c r="D480" s="272"/>
      <c r="E480" s="272"/>
      <c r="F480" s="272"/>
      <c r="G480" s="273"/>
      <c r="H480" s="232"/>
      <c r="I480" s="232"/>
      <c r="J480" s="273"/>
      <c r="K480" s="274"/>
      <c r="L480" s="126"/>
    </row>
    <row r="481" spans="1:12" s="124" customFormat="1" ht="21.95" customHeight="1" x14ac:dyDescent="0.25">
      <c r="A481" s="271" t="s">
        <v>772</v>
      </c>
      <c r="B481" s="232"/>
      <c r="C481" s="232"/>
      <c r="D481" s="272"/>
      <c r="E481" s="272"/>
      <c r="F481" s="272"/>
      <c r="G481" s="273"/>
      <c r="H481" s="232"/>
      <c r="I481" s="232"/>
      <c r="J481" s="273"/>
      <c r="K481" s="274"/>
      <c r="L481" s="126"/>
    </row>
    <row r="482" spans="1:12" s="124" customFormat="1" ht="21.95" customHeight="1" x14ac:dyDescent="0.25">
      <c r="A482" s="271" t="s">
        <v>773</v>
      </c>
      <c r="B482" s="232"/>
      <c r="C482" s="232"/>
      <c r="D482" s="272"/>
      <c r="E482" s="272"/>
      <c r="F482" s="272"/>
      <c r="G482" s="273"/>
      <c r="H482" s="232"/>
      <c r="I482" s="232"/>
      <c r="J482" s="273"/>
      <c r="K482" s="274"/>
      <c r="L482" s="126"/>
    </row>
    <row r="483" spans="1:12" s="124" customFormat="1" ht="21.95" customHeight="1" x14ac:dyDescent="0.25">
      <c r="A483" s="271" t="s">
        <v>774</v>
      </c>
      <c r="B483" s="232"/>
      <c r="C483" s="232"/>
      <c r="D483" s="272"/>
      <c r="E483" s="272"/>
      <c r="F483" s="272"/>
      <c r="G483" s="273"/>
      <c r="H483" s="232"/>
      <c r="I483" s="232"/>
      <c r="J483" s="273"/>
      <c r="K483" s="274"/>
      <c r="L483" s="126"/>
    </row>
    <row r="484" spans="1:12" s="124" customFormat="1" ht="21.95" customHeight="1" x14ac:dyDescent="0.25">
      <c r="A484" s="271" t="s">
        <v>775</v>
      </c>
      <c r="B484" s="232"/>
      <c r="C484" s="232"/>
      <c r="D484" s="272"/>
      <c r="E484" s="272"/>
      <c r="F484" s="272"/>
      <c r="G484" s="273"/>
      <c r="H484" s="232"/>
      <c r="I484" s="232"/>
      <c r="J484" s="273"/>
      <c r="K484" s="274"/>
      <c r="L484" s="126"/>
    </row>
    <row r="485" spans="1:12" s="124" customFormat="1" ht="21.95" customHeight="1" x14ac:dyDescent="0.25">
      <c r="A485" s="271" t="s">
        <v>776</v>
      </c>
      <c r="B485" s="232"/>
      <c r="C485" s="232"/>
      <c r="D485" s="272"/>
      <c r="E485" s="272"/>
      <c r="F485" s="272"/>
      <c r="G485" s="273"/>
      <c r="H485" s="232"/>
      <c r="I485" s="232"/>
      <c r="J485" s="273"/>
      <c r="K485" s="274"/>
      <c r="L485" s="126"/>
    </row>
    <row r="486" spans="1:12" s="124" customFormat="1" ht="21.95" customHeight="1" x14ac:dyDescent="0.25">
      <c r="A486" s="271" t="s">
        <v>777</v>
      </c>
      <c r="B486" s="232"/>
      <c r="C486" s="232"/>
      <c r="D486" s="272"/>
      <c r="E486" s="272"/>
      <c r="F486" s="272"/>
      <c r="G486" s="273"/>
      <c r="H486" s="232"/>
      <c r="I486" s="232"/>
      <c r="J486" s="273"/>
      <c r="K486" s="274"/>
      <c r="L486" s="126"/>
    </row>
    <row r="487" spans="1:12" s="124" customFormat="1" ht="21.95" customHeight="1" x14ac:dyDescent="0.25">
      <c r="A487" s="271" t="s">
        <v>778</v>
      </c>
      <c r="B487" s="232"/>
      <c r="C487" s="232"/>
      <c r="D487" s="272"/>
      <c r="E487" s="272"/>
      <c r="F487" s="272"/>
      <c r="G487" s="273"/>
      <c r="H487" s="232"/>
      <c r="I487" s="232"/>
      <c r="J487" s="273"/>
      <c r="K487" s="274"/>
      <c r="L487" s="126"/>
    </row>
    <row r="488" spans="1:12" s="124" customFormat="1" ht="21.95" customHeight="1" x14ac:dyDescent="0.25">
      <c r="A488" s="271" t="s">
        <v>779</v>
      </c>
      <c r="B488" s="232"/>
      <c r="C488" s="232"/>
      <c r="D488" s="272"/>
      <c r="E488" s="272"/>
      <c r="F488" s="272"/>
      <c r="G488" s="273"/>
      <c r="H488" s="232"/>
      <c r="I488" s="232"/>
      <c r="J488" s="273"/>
      <c r="K488" s="274"/>
      <c r="L488" s="126"/>
    </row>
    <row r="489" spans="1:12" s="124" customFormat="1" ht="21.95" customHeight="1" x14ac:dyDescent="0.25">
      <c r="A489" s="271" t="s">
        <v>786</v>
      </c>
      <c r="B489" s="126"/>
      <c r="C489" s="126"/>
      <c r="D489" s="275"/>
      <c r="E489" s="275"/>
      <c r="F489" s="275"/>
      <c r="H489" s="126"/>
      <c r="I489" s="126"/>
      <c r="K489" s="274"/>
      <c r="L489" s="126"/>
    </row>
    <row r="490" spans="1:12" s="124" customFormat="1" ht="21.95" customHeight="1" x14ac:dyDescent="0.25">
      <c r="A490" s="271" t="s">
        <v>787</v>
      </c>
      <c r="B490" s="126"/>
      <c r="C490" s="126"/>
      <c r="D490" s="275"/>
      <c r="E490" s="275"/>
      <c r="F490" s="275"/>
      <c r="H490" s="126"/>
      <c r="I490" s="126"/>
      <c r="K490" s="274"/>
      <c r="L490" s="126"/>
    </row>
    <row r="491" spans="1:12" s="124" customFormat="1" ht="21.95" customHeight="1" x14ac:dyDescent="0.25">
      <c r="A491" s="271" t="s">
        <v>788</v>
      </c>
      <c r="B491" s="126"/>
      <c r="C491" s="126"/>
      <c r="D491" s="275"/>
      <c r="E491" s="275"/>
      <c r="F491" s="275"/>
      <c r="H491" s="126"/>
      <c r="I491" s="126"/>
      <c r="K491" s="274"/>
      <c r="L491" s="126"/>
    </row>
    <row r="492" spans="1:12" s="124" customFormat="1" ht="21.95" customHeight="1" x14ac:dyDescent="0.25">
      <c r="A492" s="271" t="s">
        <v>789</v>
      </c>
      <c r="B492" s="126"/>
      <c r="C492" s="126"/>
      <c r="D492" s="275"/>
      <c r="E492" s="275"/>
      <c r="F492" s="275"/>
      <c r="H492" s="126"/>
      <c r="I492" s="126"/>
      <c r="K492" s="274"/>
      <c r="L492" s="126"/>
    </row>
    <row r="493" spans="1:12" s="124" customFormat="1" ht="21.95" customHeight="1" x14ac:dyDescent="0.25">
      <c r="A493" s="271" t="s">
        <v>790</v>
      </c>
      <c r="B493" s="126"/>
      <c r="C493" s="126"/>
      <c r="D493" s="275"/>
      <c r="E493" s="275"/>
      <c r="F493" s="275"/>
      <c r="H493" s="126"/>
      <c r="I493" s="126"/>
      <c r="K493" s="274"/>
      <c r="L493" s="126"/>
    </row>
    <row r="494" spans="1:12" s="124" customFormat="1" ht="21.95" customHeight="1" x14ac:dyDescent="0.25">
      <c r="A494" s="271" t="s">
        <v>791</v>
      </c>
      <c r="B494" s="126"/>
      <c r="C494" s="126"/>
      <c r="D494" s="275"/>
      <c r="E494" s="275"/>
      <c r="F494" s="275"/>
      <c r="H494" s="126"/>
      <c r="I494" s="126"/>
      <c r="K494" s="274"/>
      <c r="L494" s="126"/>
    </row>
    <row r="495" spans="1:12" s="124" customFormat="1" ht="21.95" customHeight="1" x14ac:dyDescent="0.25">
      <c r="A495" s="271" t="s">
        <v>792</v>
      </c>
      <c r="B495" s="126"/>
      <c r="C495" s="126"/>
      <c r="D495" s="275"/>
      <c r="E495" s="275"/>
      <c r="F495" s="275"/>
      <c r="H495" s="126"/>
      <c r="I495" s="126"/>
      <c r="K495" s="274"/>
      <c r="L495" s="126"/>
    </row>
    <row r="496" spans="1:12" s="124" customFormat="1" ht="21.95" customHeight="1" x14ac:dyDescent="0.25">
      <c r="A496" s="271" t="s">
        <v>793</v>
      </c>
      <c r="B496" s="126"/>
      <c r="C496" s="126"/>
      <c r="D496" s="275"/>
      <c r="E496" s="275"/>
      <c r="F496" s="275"/>
      <c r="H496" s="126"/>
      <c r="I496" s="126"/>
      <c r="K496" s="274"/>
      <c r="L496" s="126"/>
    </row>
    <row r="497" spans="1:12" s="124" customFormat="1" ht="21.95" customHeight="1" x14ac:dyDescent="0.25">
      <c r="A497" s="271" t="s">
        <v>794</v>
      </c>
      <c r="B497" s="126"/>
      <c r="C497" s="126"/>
      <c r="D497" s="275"/>
      <c r="E497" s="275"/>
      <c r="F497" s="275"/>
      <c r="H497" s="126"/>
      <c r="I497" s="126"/>
      <c r="K497" s="274"/>
      <c r="L497" s="126"/>
    </row>
    <row r="498" spans="1:12" s="124" customFormat="1" ht="21.95" customHeight="1" x14ac:dyDescent="0.25">
      <c r="A498" s="271" t="s">
        <v>795</v>
      </c>
      <c r="B498" s="126"/>
      <c r="C498" s="126"/>
      <c r="D498" s="275"/>
      <c r="E498" s="275"/>
      <c r="F498" s="275"/>
      <c r="H498" s="126"/>
      <c r="I498" s="126"/>
      <c r="K498" s="274"/>
      <c r="L498" s="126"/>
    </row>
    <row r="499" spans="1:12" s="124" customFormat="1" ht="21.95" customHeight="1" x14ac:dyDescent="0.25">
      <c r="A499" s="271" t="s">
        <v>796</v>
      </c>
      <c r="B499" s="126"/>
      <c r="C499" s="126"/>
      <c r="D499" s="275"/>
      <c r="E499" s="275"/>
      <c r="F499" s="275"/>
      <c r="H499" s="126"/>
      <c r="I499" s="126"/>
      <c r="K499" s="274"/>
      <c r="L499" s="126"/>
    </row>
    <row r="500" spans="1:12" s="124" customFormat="1" ht="21.95" customHeight="1" x14ac:dyDescent="0.25">
      <c r="A500" s="271" t="s">
        <v>797</v>
      </c>
      <c r="B500" s="126"/>
      <c r="C500" s="126"/>
      <c r="D500" s="275"/>
      <c r="E500" s="275"/>
      <c r="F500" s="275"/>
      <c r="H500" s="126"/>
      <c r="I500" s="126"/>
      <c r="K500" s="274"/>
      <c r="L500" s="126"/>
    </row>
    <row r="501" spans="1:12" s="124" customFormat="1" ht="21.95" customHeight="1" x14ac:dyDescent="0.25">
      <c r="A501" s="271" t="s">
        <v>798</v>
      </c>
      <c r="B501" s="126"/>
      <c r="C501" s="126"/>
      <c r="D501" s="275"/>
      <c r="E501" s="275"/>
      <c r="F501" s="275"/>
      <c r="H501" s="126"/>
      <c r="I501" s="126"/>
      <c r="K501" s="274"/>
      <c r="L501" s="126"/>
    </row>
    <row r="502" spans="1:12" s="124" customFormat="1" ht="21.95" customHeight="1" x14ac:dyDescent="0.25">
      <c r="A502" s="271" t="s">
        <v>799</v>
      </c>
      <c r="B502" s="126"/>
      <c r="C502" s="126"/>
      <c r="D502" s="275"/>
      <c r="E502" s="275"/>
      <c r="F502" s="275"/>
      <c r="H502" s="126"/>
      <c r="I502" s="126"/>
      <c r="K502" s="274"/>
      <c r="L502" s="126"/>
    </row>
    <row r="503" spans="1:12" s="124" customFormat="1" ht="21.95" customHeight="1" x14ac:dyDescent="0.25">
      <c r="A503" s="271" t="s">
        <v>800</v>
      </c>
      <c r="B503" s="126"/>
      <c r="C503" s="126"/>
      <c r="D503" s="275"/>
      <c r="E503" s="275"/>
      <c r="F503" s="275"/>
      <c r="H503" s="126"/>
      <c r="I503" s="126"/>
      <c r="K503" s="274"/>
      <c r="L503" s="126"/>
    </row>
    <row r="504" spans="1:12" s="124" customFormat="1" ht="21.95" customHeight="1" x14ac:dyDescent="0.25">
      <c r="A504" s="271" t="s">
        <v>801</v>
      </c>
      <c r="B504" s="126"/>
      <c r="C504" s="126"/>
      <c r="D504" s="275"/>
      <c r="E504" s="275"/>
      <c r="F504" s="275"/>
      <c r="H504" s="126"/>
      <c r="I504" s="126"/>
      <c r="K504" s="274"/>
      <c r="L504" s="126"/>
    </row>
    <row r="505" spans="1:12" s="124" customFormat="1" ht="21.95" customHeight="1" x14ac:dyDescent="0.25">
      <c r="A505" s="271" t="s">
        <v>802</v>
      </c>
      <c r="B505" s="126"/>
      <c r="C505" s="126"/>
      <c r="D505" s="275"/>
      <c r="E505" s="275"/>
      <c r="F505" s="275"/>
      <c r="H505" s="126"/>
      <c r="I505" s="126"/>
      <c r="K505" s="274"/>
      <c r="L505" s="126"/>
    </row>
    <row r="506" spans="1:12" s="124" customFormat="1" ht="21.95" customHeight="1" x14ac:dyDescent="0.25">
      <c r="A506" s="271" t="s">
        <v>803</v>
      </c>
      <c r="B506" s="126"/>
      <c r="C506" s="126"/>
      <c r="D506" s="275"/>
      <c r="E506" s="275"/>
      <c r="F506" s="275"/>
      <c r="H506" s="126"/>
      <c r="I506" s="126"/>
      <c r="K506" s="274"/>
      <c r="L506" s="126"/>
    </row>
    <row r="507" spans="1:12" s="124" customFormat="1" ht="21.95" customHeight="1" x14ac:dyDescent="0.25">
      <c r="A507" s="271" t="s">
        <v>804</v>
      </c>
      <c r="B507" s="126"/>
      <c r="C507" s="126"/>
      <c r="D507" s="275"/>
      <c r="E507" s="275"/>
      <c r="F507" s="275"/>
      <c r="H507" s="126"/>
      <c r="I507" s="126"/>
      <c r="K507" s="274"/>
      <c r="L507" s="126"/>
    </row>
    <row r="508" spans="1:12" s="124" customFormat="1" ht="21.95" customHeight="1" x14ac:dyDescent="0.25">
      <c r="A508" s="271" t="s">
        <v>805</v>
      </c>
      <c r="B508" s="126"/>
      <c r="C508" s="126"/>
      <c r="D508" s="275"/>
      <c r="E508" s="275"/>
      <c r="F508" s="275"/>
      <c r="H508" s="126"/>
      <c r="I508" s="126"/>
      <c r="K508" s="274"/>
      <c r="L508" s="126"/>
    </row>
    <row r="509" spans="1:12" s="124" customFormat="1" ht="21.95" customHeight="1" x14ac:dyDescent="0.25">
      <c r="A509" s="271" t="s">
        <v>806</v>
      </c>
      <c r="B509" s="126"/>
      <c r="C509" s="126"/>
      <c r="D509" s="275"/>
      <c r="E509" s="275"/>
      <c r="F509" s="275"/>
      <c r="H509" s="126"/>
      <c r="I509" s="126"/>
      <c r="K509" s="274"/>
      <c r="L509" s="126"/>
    </row>
    <row r="510" spans="1:12" s="124" customFormat="1" ht="21.95" customHeight="1" x14ac:dyDescent="0.25">
      <c r="A510" s="271" t="s">
        <v>807</v>
      </c>
      <c r="B510" s="126"/>
      <c r="C510" s="126"/>
      <c r="D510" s="275"/>
      <c r="E510" s="275"/>
      <c r="F510" s="275"/>
      <c r="H510" s="126"/>
      <c r="I510" s="126"/>
      <c r="K510" s="274"/>
      <c r="L510" s="126"/>
    </row>
    <row r="511" spans="1:12" s="124" customFormat="1" ht="21.95" customHeight="1" x14ac:dyDescent="0.25">
      <c r="A511" s="271" t="s">
        <v>808</v>
      </c>
      <c r="B511" s="126"/>
      <c r="C511" s="126"/>
      <c r="D511" s="275"/>
      <c r="E511" s="275"/>
      <c r="F511" s="275"/>
      <c r="H511" s="126"/>
      <c r="I511" s="126"/>
      <c r="K511" s="274"/>
      <c r="L511" s="126"/>
    </row>
    <row r="512" spans="1:12" s="124" customFormat="1" ht="21.95" customHeight="1" x14ac:dyDescent="0.25">
      <c r="A512" s="271" t="s">
        <v>809</v>
      </c>
      <c r="B512" s="126"/>
      <c r="C512" s="126"/>
      <c r="D512" s="275"/>
      <c r="E512" s="275"/>
      <c r="F512" s="275"/>
      <c r="H512" s="126"/>
      <c r="I512" s="126"/>
      <c r="K512" s="274"/>
      <c r="L512" s="126"/>
    </row>
    <row r="513" spans="1:12" s="124" customFormat="1" ht="21.95" customHeight="1" x14ac:dyDescent="0.25">
      <c r="A513" s="271" t="s">
        <v>810</v>
      </c>
      <c r="B513" s="126"/>
      <c r="C513" s="126"/>
      <c r="D513" s="275"/>
      <c r="E513" s="275"/>
      <c r="F513" s="275"/>
      <c r="H513" s="126"/>
      <c r="I513" s="126"/>
      <c r="K513" s="274"/>
      <c r="L513" s="126"/>
    </row>
    <row r="514" spans="1:12" s="124" customFormat="1" ht="21.95" customHeight="1" x14ac:dyDescent="0.25">
      <c r="A514" s="271" t="s">
        <v>811</v>
      </c>
      <c r="B514" s="126"/>
      <c r="C514" s="126"/>
      <c r="D514" s="275"/>
      <c r="E514" s="275"/>
      <c r="F514" s="275"/>
      <c r="H514" s="126"/>
      <c r="I514" s="126"/>
      <c r="K514" s="274"/>
      <c r="L514" s="126"/>
    </row>
    <row r="515" spans="1:12" s="124" customFormat="1" ht="21.95" customHeight="1" x14ac:dyDescent="0.25">
      <c r="A515" s="271" t="s">
        <v>812</v>
      </c>
      <c r="B515" s="126"/>
      <c r="C515" s="126"/>
      <c r="D515" s="275"/>
      <c r="E515" s="275"/>
      <c r="F515" s="275"/>
      <c r="H515" s="126"/>
      <c r="I515" s="126"/>
      <c r="K515" s="274"/>
      <c r="L515" s="126"/>
    </row>
    <row r="516" spans="1:12" s="124" customFormat="1" ht="21.95" customHeight="1" x14ac:dyDescent="0.25">
      <c r="A516" s="271" t="s">
        <v>813</v>
      </c>
      <c r="B516" s="126"/>
      <c r="C516" s="126"/>
      <c r="D516" s="275"/>
      <c r="E516" s="275"/>
      <c r="F516" s="275"/>
      <c r="H516" s="126"/>
      <c r="I516" s="126"/>
      <c r="K516" s="274"/>
      <c r="L516" s="126"/>
    </row>
    <row r="517" spans="1:12" s="124" customFormat="1" ht="21.95" customHeight="1" x14ac:dyDescent="0.25">
      <c r="A517" s="271" t="s">
        <v>814</v>
      </c>
      <c r="B517" s="126"/>
      <c r="C517" s="126"/>
      <c r="D517" s="275"/>
      <c r="E517" s="275"/>
      <c r="F517" s="275"/>
      <c r="H517" s="126"/>
      <c r="I517" s="126"/>
      <c r="K517" s="274"/>
      <c r="L517" s="126"/>
    </row>
    <row r="518" spans="1:12" s="124" customFormat="1" ht="21.95" customHeight="1" x14ac:dyDescent="0.25">
      <c r="A518" s="271" t="s">
        <v>815</v>
      </c>
      <c r="B518" s="126"/>
      <c r="C518" s="126"/>
      <c r="D518" s="275"/>
      <c r="E518" s="275"/>
      <c r="F518" s="275"/>
      <c r="H518" s="126"/>
      <c r="I518" s="126"/>
      <c r="K518" s="274"/>
      <c r="L518" s="126"/>
    </row>
    <row r="519" spans="1:12" s="124" customFormat="1" ht="21.95" customHeight="1" x14ac:dyDescent="0.25">
      <c r="A519" s="271" t="s">
        <v>816</v>
      </c>
      <c r="B519" s="126"/>
      <c r="C519" s="126"/>
      <c r="D519" s="275"/>
      <c r="E519" s="275"/>
      <c r="F519" s="275"/>
      <c r="H519" s="126"/>
      <c r="I519" s="126"/>
      <c r="K519" s="274"/>
      <c r="L519" s="126"/>
    </row>
    <row r="520" spans="1:12" s="124" customFormat="1" ht="21.95" customHeight="1" x14ac:dyDescent="0.25">
      <c r="A520" s="271" t="s">
        <v>817</v>
      </c>
      <c r="B520" s="126"/>
      <c r="C520" s="126"/>
      <c r="D520" s="275"/>
      <c r="E520" s="275"/>
      <c r="F520" s="275"/>
      <c r="H520" s="126"/>
      <c r="I520" s="126"/>
      <c r="K520" s="274"/>
      <c r="L520" s="126"/>
    </row>
    <row r="521" spans="1:12" s="124" customFormat="1" ht="21.95" customHeight="1" x14ac:dyDescent="0.25">
      <c r="A521" s="271" t="s">
        <v>818</v>
      </c>
      <c r="B521" s="126"/>
      <c r="C521" s="126"/>
      <c r="D521" s="275"/>
      <c r="E521" s="275"/>
      <c r="F521" s="275"/>
      <c r="H521" s="126"/>
      <c r="I521" s="126"/>
      <c r="K521" s="274"/>
      <c r="L521" s="126"/>
    </row>
    <row r="522" spans="1:12" s="124" customFormat="1" ht="21.95" customHeight="1" x14ac:dyDescent="0.25">
      <c r="A522" s="271" t="s">
        <v>819</v>
      </c>
      <c r="B522" s="126"/>
      <c r="C522" s="126"/>
      <c r="D522" s="275"/>
      <c r="E522" s="275"/>
      <c r="F522" s="275"/>
      <c r="H522" s="126"/>
      <c r="I522" s="126"/>
      <c r="K522" s="274"/>
      <c r="L522" s="126"/>
    </row>
    <row r="523" spans="1:12" s="124" customFormat="1" ht="21.95" customHeight="1" x14ac:dyDescent="0.25">
      <c r="A523" s="271" t="s">
        <v>820</v>
      </c>
      <c r="B523" s="126"/>
      <c r="C523" s="126"/>
      <c r="D523" s="275"/>
      <c r="E523" s="275"/>
      <c r="F523" s="275"/>
      <c r="H523" s="126"/>
      <c r="I523" s="126"/>
      <c r="K523" s="274"/>
      <c r="L523" s="126"/>
    </row>
    <row r="524" spans="1:12" s="124" customFormat="1" ht="21.95" customHeight="1" x14ac:dyDescent="0.25">
      <c r="A524" s="271" t="s">
        <v>821</v>
      </c>
      <c r="B524" s="126"/>
      <c r="C524" s="126"/>
      <c r="D524" s="275"/>
      <c r="E524" s="275"/>
      <c r="F524" s="275"/>
      <c r="H524" s="126"/>
      <c r="I524" s="126"/>
      <c r="K524" s="274"/>
      <c r="L524" s="126"/>
    </row>
    <row r="525" spans="1:12" s="124" customFormat="1" ht="21.95" customHeight="1" x14ac:dyDescent="0.25">
      <c r="A525" s="271" t="s">
        <v>822</v>
      </c>
      <c r="B525" s="126"/>
      <c r="C525" s="126"/>
      <c r="D525" s="275"/>
      <c r="E525" s="275"/>
      <c r="F525" s="275"/>
      <c r="H525" s="126"/>
      <c r="I525" s="126"/>
      <c r="K525" s="274"/>
      <c r="L525" s="126"/>
    </row>
    <row r="526" spans="1:12" s="124" customFormat="1" ht="21.95" customHeight="1" x14ac:dyDescent="0.25">
      <c r="A526" s="271" t="s">
        <v>823</v>
      </c>
      <c r="B526" s="126"/>
      <c r="C526" s="126"/>
      <c r="D526" s="275"/>
      <c r="E526" s="275"/>
      <c r="F526" s="275"/>
      <c r="H526" s="126"/>
      <c r="I526" s="126"/>
      <c r="K526" s="274"/>
      <c r="L526" s="126"/>
    </row>
    <row r="527" spans="1:12" s="124" customFormat="1" ht="21.95" customHeight="1" x14ac:dyDescent="0.25">
      <c r="A527" s="271" t="s">
        <v>824</v>
      </c>
      <c r="B527" s="126"/>
      <c r="C527" s="126"/>
      <c r="D527" s="275"/>
      <c r="E527" s="275"/>
      <c r="F527" s="275"/>
      <c r="H527" s="126"/>
      <c r="I527" s="126"/>
      <c r="K527" s="274"/>
      <c r="L527" s="126"/>
    </row>
    <row r="528" spans="1:12" s="124" customFormat="1" ht="21.95" customHeight="1" x14ac:dyDescent="0.25">
      <c r="A528" s="271" t="s">
        <v>825</v>
      </c>
      <c r="B528" s="126"/>
      <c r="C528" s="126"/>
      <c r="D528" s="275"/>
      <c r="E528" s="275"/>
      <c r="F528" s="275"/>
      <c r="H528" s="126"/>
      <c r="I528" s="126"/>
      <c r="K528" s="274"/>
      <c r="L528" s="126"/>
    </row>
    <row r="529" spans="1:12" s="124" customFormat="1" ht="21.95" customHeight="1" x14ac:dyDescent="0.25">
      <c r="A529" s="271" t="s">
        <v>826</v>
      </c>
      <c r="B529" s="126"/>
      <c r="C529" s="126"/>
      <c r="D529" s="275"/>
      <c r="E529" s="275"/>
      <c r="F529" s="275"/>
      <c r="H529" s="126"/>
      <c r="I529" s="126"/>
      <c r="K529" s="274"/>
      <c r="L529" s="126"/>
    </row>
    <row r="530" spans="1:12" s="124" customFormat="1" ht="21.95" customHeight="1" x14ac:dyDescent="0.25">
      <c r="A530" s="271" t="s">
        <v>827</v>
      </c>
      <c r="B530" s="126"/>
      <c r="C530" s="126"/>
      <c r="D530" s="275"/>
      <c r="E530" s="275"/>
      <c r="F530" s="275"/>
      <c r="H530" s="126"/>
      <c r="I530" s="126"/>
      <c r="K530" s="274"/>
      <c r="L530" s="126"/>
    </row>
    <row r="531" spans="1:12" s="124" customFormat="1" ht="21.95" customHeight="1" x14ac:dyDescent="0.25">
      <c r="A531" s="271" t="s">
        <v>828</v>
      </c>
      <c r="B531" s="126"/>
      <c r="C531" s="126"/>
      <c r="D531" s="275"/>
      <c r="E531" s="275"/>
      <c r="F531" s="275"/>
      <c r="H531" s="126"/>
      <c r="I531" s="126"/>
      <c r="K531" s="274"/>
      <c r="L531" s="126"/>
    </row>
    <row r="532" spans="1:12" s="124" customFormat="1" ht="21.95" customHeight="1" x14ac:dyDescent="0.25">
      <c r="A532" s="271" t="s">
        <v>829</v>
      </c>
      <c r="B532" s="126"/>
      <c r="C532" s="126"/>
      <c r="D532" s="275"/>
      <c r="E532" s="275"/>
      <c r="F532" s="275"/>
      <c r="H532" s="126"/>
      <c r="I532" s="126"/>
      <c r="K532" s="274"/>
      <c r="L532" s="126"/>
    </row>
    <row r="533" spans="1:12" s="124" customFormat="1" ht="21.95" customHeight="1" x14ac:dyDescent="0.25">
      <c r="A533" s="271" t="s">
        <v>830</v>
      </c>
      <c r="B533" s="126"/>
      <c r="C533" s="126"/>
      <c r="D533" s="275"/>
      <c r="E533" s="275"/>
      <c r="F533" s="275"/>
      <c r="H533" s="126"/>
      <c r="I533" s="126"/>
      <c r="K533" s="274"/>
      <c r="L533" s="126"/>
    </row>
    <row r="534" spans="1:12" s="124" customFormat="1" ht="21.95" customHeight="1" x14ac:dyDescent="0.25">
      <c r="A534" s="271" t="s">
        <v>831</v>
      </c>
      <c r="B534" s="126"/>
      <c r="C534" s="126"/>
      <c r="D534" s="275"/>
      <c r="E534" s="275"/>
      <c r="F534" s="275"/>
      <c r="H534" s="126"/>
      <c r="I534" s="126"/>
      <c r="K534" s="274"/>
      <c r="L534" s="126"/>
    </row>
    <row r="535" spans="1:12" s="124" customFormat="1" ht="21.95" customHeight="1" x14ac:dyDescent="0.25">
      <c r="A535" s="271" t="s">
        <v>832</v>
      </c>
      <c r="B535" s="126"/>
      <c r="C535" s="126"/>
      <c r="D535" s="275"/>
      <c r="E535" s="275"/>
      <c r="F535" s="275"/>
      <c r="H535" s="126"/>
      <c r="I535" s="126"/>
      <c r="K535" s="274"/>
      <c r="L535" s="126"/>
    </row>
    <row r="536" spans="1:12" s="124" customFormat="1" ht="21.95" customHeight="1" x14ac:dyDescent="0.25">
      <c r="A536" s="271" t="s">
        <v>833</v>
      </c>
      <c r="B536" s="126"/>
      <c r="C536" s="126"/>
      <c r="D536" s="275"/>
      <c r="E536" s="275"/>
      <c r="F536" s="275"/>
      <c r="H536" s="126"/>
      <c r="I536" s="126"/>
      <c r="K536" s="274"/>
      <c r="L536" s="126"/>
    </row>
    <row r="537" spans="1:12" s="124" customFormat="1" ht="21.95" customHeight="1" x14ac:dyDescent="0.25">
      <c r="A537" s="271" t="s">
        <v>834</v>
      </c>
      <c r="B537" s="126"/>
      <c r="C537" s="126"/>
      <c r="D537" s="275"/>
      <c r="E537" s="275"/>
      <c r="F537" s="275"/>
      <c r="H537" s="126"/>
      <c r="I537" s="126"/>
      <c r="K537" s="274"/>
      <c r="L537" s="126"/>
    </row>
    <row r="538" spans="1:12" s="124" customFormat="1" ht="21.95" customHeight="1" x14ac:dyDescent="0.25">
      <c r="A538" s="271" t="s">
        <v>835</v>
      </c>
      <c r="B538" s="126"/>
      <c r="C538" s="126"/>
      <c r="D538" s="275"/>
      <c r="E538" s="275"/>
      <c r="F538" s="275"/>
      <c r="H538" s="126"/>
      <c r="I538" s="126"/>
      <c r="K538" s="274"/>
      <c r="L538" s="126"/>
    </row>
    <row r="539" spans="1:12" s="124" customFormat="1" ht="21.95" customHeight="1" x14ac:dyDescent="0.25">
      <c r="A539" s="271" t="s">
        <v>836</v>
      </c>
      <c r="B539" s="126"/>
      <c r="C539" s="126"/>
      <c r="D539" s="275"/>
      <c r="E539" s="275"/>
      <c r="F539" s="275"/>
      <c r="H539" s="126"/>
      <c r="I539" s="126"/>
      <c r="K539" s="274"/>
      <c r="L539" s="126"/>
    </row>
    <row r="540" spans="1:12" s="124" customFormat="1" ht="21.95" customHeight="1" x14ac:dyDescent="0.25">
      <c r="A540" s="271" t="s">
        <v>837</v>
      </c>
      <c r="B540" s="126"/>
      <c r="C540" s="126"/>
      <c r="D540" s="275"/>
      <c r="E540" s="275"/>
      <c r="F540" s="275"/>
      <c r="H540" s="126"/>
      <c r="I540" s="126"/>
      <c r="K540" s="274"/>
      <c r="L540" s="126"/>
    </row>
    <row r="541" spans="1:12" s="124" customFormat="1" ht="21.95" customHeight="1" x14ac:dyDescent="0.25">
      <c r="A541" s="271" t="s">
        <v>838</v>
      </c>
      <c r="B541" s="126"/>
      <c r="C541" s="126"/>
      <c r="D541" s="275"/>
      <c r="E541" s="275"/>
      <c r="F541" s="275"/>
      <c r="H541" s="126"/>
      <c r="I541" s="126"/>
      <c r="K541" s="274"/>
      <c r="L541" s="126"/>
    </row>
    <row r="542" spans="1:12" s="124" customFormat="1" ht="21.95" customHeight="1" x14ac:dyDescent="0.25">
      <c r="A542" s="271" t="s">
        <v>839</v>
      </c>
      <c r="B542" s="126"/>
      <c r="C542" s="126"/>
      <c r="D542" s="275"/>
      <c r="E542" s="275"/>
      <c r="F542" s="275"/>
      <c r="H542" s="126"/>
      <c r="I542" s="126"/>
      <c r="K542" s="274"/>
      <c r="L542" s="126"/>
    </row>
    <row r="543" spans="1:12" s="124" customFormat="1" ht="21.95" customHeight="1" x14ac:dyDescent="0.25">
      <c r="A543" s="271" t="s">
        <v>840</v>
      </c>
      <c r="B543" s="126"/>
      <c r="C543" s="126"/>
      <c r="D543" s="275"/>
      <c r="E543" s="275"/>
      <c r="F543" s="275"/>
      <c r="H543" s="126"/>
      <c r="I543" s="126"/>
      <c r="K543" s="274"/>
      <c r="L543" s="126"/>
    </row>
    <row r="544" spans="1:12" s="124" customFormat="1" ht="21.95" customHeight="1" x14ac:dyDescent="0.25">
      <c r="A544" s="271" t="s">
        <v>841</v>
      </c>
      <c r="B544" s="126"/>
      <c r="C544" s="126"/>
      <c r="D544" s="275"/>
      <c r="E544" s="275"/>
      <c r="F544" s="275"/>
      <c r="H544" s="126"/>
      <c r="I544" s="126"/>
      <c r="K544" s="274"/>
      <c r="L544" s="126"/>
    </row>
    <row r="545" spans="1:12" s="124" customFormat="1" ht="21.95" customHeight="1" x14ac:dyDescent="0.25">
      <c r="A545" s="271" t="s">
        <v>842</v>
      </c>
      <c r="B545" s="126"/>
      <c r="C545" s="126"/>
      <c r="D545" s="275"/>
      <c r="E545" s="275"/>
      <c r="F545" s="275"/>
      <c r="H545" s="126"/>
      <c r="I545" s="126"/>
      <c r="K545" s="274"/>
      <c r="L545" s="126"/>
    </row>
    <row r="546" spans="1:12" s="124" customFormat="1" ht="21.95" customHeight="1" x14ac:dyDescent="0.25">
      <c r="A546" s="271" t="s">
        <v>843</v>
      </c>
      <c r="B546" s="126"/>
      <c r="C546" s="126"/>
      <c r="D546" s="275"/>
      <c r="E546" s="275"/>
      <c r="F546" s="275"/>
      <c r="H546" s="126"/>
      <c r="I546" s="126"/>
      <c r="K546" s="274"/>
      <c r="L546" s="126"/>
    </row>
    <row r="547" spans="1:12" s="124" customFormat="1" ht="21.95" customHeight="1" x14ac:dyDescent="0.25">
      <c r="A547" s="271" t="s">
        <v>844</v>
      </c>
      <c r="B547" s="126"/>
      <c r="C547" s="126"/>
      <c r="D547" s="275"/>
      <c r="E547" s="275"/>
      <c r="F547" s="275"/>
      <c r="H547" s="126"/>
      <c r="I547" s="126"/>
      <c r="K547" s="274"/>
      <c r="L547" s="126"/>
    </row>
    <row r="548" spans="1:12" s="124" customFormat="1" ht="21.95" customHeight="1" x14ac:dyDescent="0.25">
      <c r="A548" s="271" t="s">
        <v>845</v>
      </c>
      <c r="B548" s="126"/>
      <c r="C548" s="126"/>
      <c r="D548" s="275"/>
      <c r="E548" s="275"/>
      <c r="F548" s="275"/>
      <c r="H548" s="126"/>
      <c r="I548" s="126"/>
      <c r="K548" s="274"/>
      <c r="L548" s="126"/>
    </row>
    <row r="549" spans="1:12" s="124" customFormat="1" ht="21.95" customHeight="1" x14ac:dyDescent="0.25">
      <c r="A549" s="276"/>
      <c r="B549" s="126"/>
      <c r="C549" s="126"/>
      <c r="D549" s="275"/>
      <c r="E549" s="275"/>
      <c r="F549" s="275"/>
      <c r="H549" s="126"/>
      <c r="I549" s="126"/>
      <c r="L549" s="126"/>
    </row>
    <row r="550" spans="1:12" s="124" customFormat="1" ht="21.95" customHeight="1" x14ac:dyDescent="0.25">
      <c r="A550" s="276"/>
      <c r="B550" s="126"/>
      <c r="C550" s="126"/>
      <c r="D550" s="275"/>
      <c r="E550" s="275"/>
      <c r="F550" s="275"/>
      <c r="H550" s="126"/>
      <c r="I550" s="126"/>
      <c r="L550" s="126"/>
    </row>
    <row r="551" spans="1:12" s="124" customFormat="1" ht="21.95" customHeight="1" x14ac:dyDescent="0.25">
      <c r="A551" s="276"/>
      <c r="B551" s="126"/>
      <c r="C551" s="126"/>
      <c r="D551" s="275"/>
      <c r="E551" s="275"/>
      <c r="F551" s="275"/>
      <c r="H551" s="126"/>
      <c r="I551" s="126"/>
      <c r="L551" s="126"/>
    </row>
    <row r="552" spans="1:12" s="124" customFormat="1" ht="21.95" customHeight="1" x14ac:dyDescent="0.25">
      <c r="A552" s="276"/>
      <c r="B552" s="126"/>
      <c r="C552" s="126"/>
      <c r="D552" s="275"/>
      <c r="E552" s="275"/>
      <c r="F552" s="275"/>
      <c r="H552" s="126"/>
      <c r="I552" s="126"/>
      <c r="L552" s="126"/>
    </row>
    <row r="553" spans="1:12" s="124" customFormat="1" ht="21.95" customHeight="1" x14ac:dyDescent="0.25">
      <c r="A553" s="276"/>
      <c r="B553" s="126"/>
      <c r="C553" s="126"/>
      <c r="D553" s="275"/>
      <c r="E553" s="275"/>
      <c r="F553" s="275"/>
      <c r="H553" s="126"/>
      <c r="I553" s="126"/>
      <c r="L553" s="126"/>
    </row>
    <row r="554" spans="1:12" s="124" customFormat="1" ht="21.95" customHeight="1" x14ac:dyDescent="0.25">
      <c r="A554" s="276"/>
      <c r="B554" s="126"/>
      <c r="C554" s="126"/>
      <c r="D554" s="275"/>
      <c r="E554" s="275"/>
      <c r="F554" s="275"/>
      <c r="H554" s="126"/>
      <c r="I554" s="126"/>
      <c r="L554" s="126"/>
    </row>
    <row r="555" spans="1:12" s="124" customFormat="1" ht="21.95" customHeight="1" x14ac:dyDescent="0.25">
      <c r="A555" s="276"/>
      <c r="B555" s="126"/>
      <c r="C555" s="126"/>
      <c r="D555" s="275"/>
      <c r="E555" s="275"/>
      <c r="F555" s="275"/>
      <c r="H555" s="126"/>
      <c r="I555" s="126"/>
      <c r="L555" s="126"/>
    </row>
    <row r="556" spans="1:12" s="124" customFormat="1" ht="21.95" customHeight="1" x14ac:dyDescent="0.25">
      <c r="A556" s="276"/>
      <c r="B556" s="126"/>
      <c r="C556" s="126"/>
      <c r="D556" s="275"/>
      <c r="E556" s="275"/>
      <c r="F556" s="275"/>
      <c r="H556" s="126"/>
      <c r="I556" s="126"/>
      <c r="L556" s="126"/>
    </row>
    <row r="557" spans="1:12" s="124" customFormat="1" ht="21.95" customHeight="1" x14ac:dyDescent="0.25">
      <c r="A557" s="276"/>
      <c r="B557" s="126"/>
      <c r="C557" s="126"/>
      <c r="D557" s="275"/>
      <c r="E557" s="275"/>
      <c r="F557" s="275"/>
      <c r="H557" s="126"/>
      <c r="I557" s="126"/>
      <c r="L557" s="126"/>
    </row>
    <row r="558" spans="1:12" s="124" customFormat="1" ht="21.95" customHeight="1" x14ac:dyDescent="0.25">
      <c r="A558" s="276"/>
      <c r="B558" s="126"/>
      <c r="C558" s="126"/>
      <c r="D558" s="275"/>
      <c r="E558" s="275"/>
      <c r="F558" s="275"/>
      <c r="H558" s="126"/>
      <c r="I558" s="126"/>
      <c r="L558" s="126"/>
    </row>
    <row r="559" spans="1:12" s="124" customFormat="1" ht="21.95" customHeight="1" x14ac:dyDescent="0.25">
      <c r="A559" s="276"/>
      <c r="B559" s="126"/>
      <c r="C559" s="126"/>
      <c r="D559" s="275"/>
      <c r="E559" s="275"/>
      <c r="F559" s="275"/>
      <c r="H559" s="126"/>
      <c r="I559" s="126"/>
      <c r="L559" s="126"/>
    </row>
    <row r="560" spans="1:12" s="124" customFormat="1" ht="21.95" customHeight="1" x14ac:dyDescent="0.25">
      <c r="A560" s="276"/>
      <c r="B560" s="126"/>
      <c r="C560" s="126"/>
      <c r="D560" s="275"/>
      <c r="E560" s="275"/>
      <c r="F560" s="275"/>
      <c r="H560" s="126"/>
      <c r="I560" s="126"/>
      <c r="L560" s="126"/>
    </row>
    <row r="561" spans="1:12" s="124" customFormat="1" ht="21.95" customHeight="1" x14ac:dyDescent="0.25">
      <c r="A561" s="276"/>
      <c r="B561" s="126"/>
      <c r="C561" s="126"/>
      <c r="D561" s="275"/>
      <c r="E561" s="275"/>
      <c r="F561" s="275"/>
      <c r="H561" s="126"/>
      <c r="I561" s="126"/>
      <c r="L561" s="126"/>
    </row>
    <row r="562" spans="1:12" s="124" customFormat="1" ht="21.95" customHeight="1" x14ac:dyDescent="0.25">
      <c r="A562" s="276"/>
      <c r="B562" s="126"/>
      <c r="C562" s="126"/>
      <c r="D562" s="275"/>
      <c r="E562" s="275"/>
      <c r="F562" s="275"/>
      <c r="H562" s="126"/>
      <c r="I562" s="126"/>
      <c r="L562" s="126"/>
    </row>
    <row r="563" spans="1:12" s="124" customFormat="1" ht="21.95" customHeight="1" x14ac:dyDescent="0.25">
      <c r="A563" s="276"/>
      <c r="B563" s="126"/>
      <c r="C563" s="126"/>
      <c r="D563" s="275"/>
      <c r="E563" s="275"/>
      <c r="F563" s="275"/>
      <c r="H563" s="126"/>
      <c r="I563" s="126"/>
      <c r="L563" s="126"/>
    </row>
    <row r="564" spans="1:12" s="124" customFormat="1" ht="21.95" customHeight="1" x14ac:dyDescent="0.25">
      <c r="A564" s="276"/>
      <c r="B564" s="126"/>
      <c r="C564" s="126"/>
      <c r="D564" s="275"/>
      <c r="E564" s="275"/>
      <c r="F564" s="275"/>
      <c r="H564" s="126"/>
      <c r="I564" s="126"/>
      <c r="L564" s="126"/>
    </row>
    <row r="565" spans="1:12" s="124" customFormat="1" ht="21.95" customHeight="1" x14ac:dyDescent="0.25">
      <c r="A565" s="276"/>
      <c r="B565" s="126"/>
      <c r="C565" s="126"/>
      <c r="D565" s="275"/>
      <c r="E565" s="275"/>
      <c r="F565" s="275"/>
      <c r="H565" s="126"/>
      <c r="I565" s="126"/>
      <c r="L565" s="126"/>
    </row>
    <row r="566" spans="1:12" s="124" customFormat="1" ht="21.95" customHeight="1" x14ac:dyDescent="0.25">
      <c r="A566" s="276"/>
      <c r="B566" s="126"/>
      <c r="C566" s="126"/>
      <c r="D566" s="275"/>
      <c r="E566" s="275"/>
      <c r="F566" s="275"/>
      <c r="H566" s="126"/>
      <c r="I566" s="126"/>
      <c r="L566" s="126"/>
    </row>
    <row r="567" spans="1:12" s="124" customFormat="1" ht="21.95" customHeight="1" x14ac:dyDescent="0.25">
      <c r="A567" s="276"/>
      <c r="B567" s="126"/>
      <c r="C567" s="126"/>
      <c r="D567" s="275"/>
      <c r="E567" s="275"/>
      <c r="F567" s="275"/>
      <c r="H567" s="126"/>
      <c r="I567" s="126"/>
      <c r="L567" s="126"/>
    </row>
    <row r="568" spans="1:12" s="124" customFormat="1" ht="21.95" customHeight="1" x14ac:dyDescent="0.25">
      <c r="A568" s="276"/>
      <c r="B568" s="126"/>
      <c r="C568" s="126"/>
      <c r="D568" s="275"/>
      <c r="E568" s="275"/>
      <c r="F568" s="275"/>
      <c r="H568" s="126"/>
      <c r="I568" s="126"/>
      <c r="L568" s="126"/>
    </row>
    <row r="569" spans="1:12" s="124" customFormat="1" ht="21.95" customHeight="1" x14ac:dyDescent="0.25">
      <c r="A569" s="276"/>
      <c r="B569" s="126"/>
      <c r="C569" s="126"/>
      <c r="D569" s="275"/>
      <c r="E569" s="275"/>
      <c r="F569" s="275"/>
      <c r="H569" s="126"/>
      <c r="I569" s="126"/>
      <c r="L569" s="126"/>
    </row>
    <row r="570" spans="1:12" s="124" customFormat="1" ht="21.95" customHeight="1" x14ac:dyDescent="0.25">
      <c r="A570" s="276"/>
      <c r="B570" s="126"/>
      <c r="C570" s="126"/>
      <c r="D570" s="275"/>
      <c r="E570" s="275"/>
      <c r="F570" s="275"/>
      <c r="H570" s="126"/>
      <c r="I570" s="126"/>
      <c r="L570" s="126"/>
    </row>
    <row r="571" spans="1:12" s="124" customFormat="1" ht="21.95" customHeight="1" x14ac:dyDescent="0.25">
      <c r="A571" s="276"/>
      <c r="B571" s="126"/>
      <c r="C571" s="126"/>
      <c r="D571" s="275"/>
      <c r="E571" s="275"/>
      <c r="F571" s="275"/>
      <c r="H571" s="126"/>
      <c r="I571" s="126"/>
      <c r="L571" s="126"/>
    </row>
    <row r="572" spans="1:12" s="124" customFormat="1" ht="21.95" customHeight="1" x14ac:dyDescent="0.25">
      <c r="A572" s="276"/>
      <c r="B572" s="126"/>
      <c r="C572" s="126"/>
      <c r="D572" s="275"/>
      <c r="E572" s="275"/>
      <c r="F572" s="275"/>
      <c r="H572" s="126"/>
      <c r="I572" s="126"/>
      <c r="L572" s="126"/>
    </row>
    <row r="573" spans="1:12" s="124" customFormat="1" ht="21.95" customHeight="1" x14ac:dyDescent="0.25">
      <c r="A573" s="276"/>
      <c r="B573" s="126"/>
      <c r="C573" s="126"/>
      <c r="D573" s="275"/>
      <c r="E573" s="275"/>
      <c r="F573" s="275"/>
      <c r="H573" s="126"/>
      <c r="I573" s="126"/>
      <c r="L573" s="126"/>
    </row>
    <row r="574" spans="1:12" s="124" customFormat="1" ht="21.95" customHeight="1" x14ac:dyDescent="0.25">
      <c r="A574" s="276"/>
      <c r="B574" s="126"/>
      <c r="C574" s="126"/>
      <c r="D574" s="275"/>
      <c r="E574" s="275"/>
      <c r="F574" s="275"/>
      <c r="H574" s="126"/>
      <c r="I574" s="126"/>
      <c r="L574" s="126"/>
    </row>
    <row r="575" spans="1:12" s="124" customFormat="1" ht="21.95" customHeight="1" x14ac:dyDescent="0.25">
      <c r="A575" s="276"/>
      <c r="B575" s="126"/>
      <c r="C575" s="126"/>
      <c r="D575" s="275"/>
      <c r="E575" s="275"/>
      <c r="F575" s="275"/>
      <c r="H575" s="126"/>
      <c r="I575" s="126"/>
      <c r="L575" s="126"/>
    </row>
    <row r="576" spans="1:12" s="124" customFormat="1" ht="21.95" customHeight="1" x14ac:dyDescent="0.25">
      <c r="A576" s="276"/>
      <c r="B576" s="126"/>
      <c r="C576" s="126"/>
      <c r="D576" s="275"/>
      <c r="E576" s="275"/>
      <c r="F576" s="275"/>
      <c r="H576" s="126"/>
      <c r="I576" s="126"/>
      <c r="L576" s="126"/>
    </row>
  </sheetData>
  <autoFilter ref="A7:J427" xr:uid="{59BAF924-8FFC-4552-8C61-AEC6E657EB27}"/>
  <mergeCells count="11">
    <mergeCell ref="A1:J1"/>
    <mergeCell ref="A2:J2"/>
    <mergeCell ref="B404:C404"/>
    <mergeCell ref="B411:C411"/>
    <mergeCell ref="B417:C417"/>
    <mergeCell ref="B383:C383"/>
    <mergeCell ref="B432:C432"/>
    <mergeCell ref="B428:C428"/>
    <mergeCell ref="B429:C429"/>
    <mergeCell ref="B422:C422"/>
    <mergeCell ref="B423:C423"/>
  </mergeCells>
  <phoneticPr fontId="8" type="noConversion"/>
  <printOptions horizontalCentered="1"/>
  <pageMargins left="0" right="0" top="0" bottom="0" header="0.31496062992125984" footer="0.31496062992125984"/>
  <pageSetup paperSize="9" scale="65" orientation="landscape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B44F-B710-4C7F-871E-E4CD7DAA6072}">
  <dimension ref="A3:F73"/>
  <sheetViews>
    <sheetView workbookViewId="0">
      <selection activeCell="E24" sqref="E24"/>
    </sheetView>
  </sheetViews>
  <sheetFormatPr defaultRowHeight="15" x14ac:dyDescent="0.25"/>
  <cols>
    <col min="2" max="2" width="37.7109375" customWidth="1"/>
    <col min="3" max="3" width="19.140625" customWidth="1"/>
    <col min="4" max="4" width="18.5703125" customWidth="1"/>
    <col min="5" max="5" width="38.42578125" customWidth="1"/>
    <col min="6" max="6" width="17.7109375" customWidth="1"/>
  </cols>
  <sheetData>
    <row r="3" spans="1:6" s="15" customFormat="1" ht="21.95" customHeight="1" x14ac:dyDescent="0.25">
      <c r="A3" s="15" t="s">
        <v>920</v>
      </c>
      <c r="B3" s="15" t="s">
        <v>846</v>
      </c>
      <c r="C3" s="15" t="s">
        <v>847</v>
      </c>
      <c r="D3" s="15" t="s">
        <v>848</v>
      </c>
      <c r="E3" s="15" t="s">
        <v>849</v>
      </c>
      <c r="F3" s="15" t="s">
        <v>936</v>
      </c>
    </row>
    <row r="4" spans="1:6" s="15" customFormat="1" ht="21.95" customHeight="1" x14ac:dyDescent="0.25"/>
    <row r="5" spans="1:6" s="15" customFormat="1" ht="21.95" customHeight="1" x14ac:dyDescent="0.25">
      <c r="A5" s="15">
        <v>1</v>
      </c>
      <c r="B5" s="233" t="s">
        <v>850</v>
      </c>
      <c r="C5" s="237">
        <v>45769</v>
      </c>
      <c r="D5" s="237">
        <v>45800</v>
      </c>
      <c r="E5" s="15" t="s">
        <v>865</v>
      </c>
      <c r="F5" s="15" t="s">
        <v>297</v>
      </c>
    </row>
    <row r="6" spans="1:6" s="15" customFormat="1" ht="21.95" customHeight="1" x14ac:dyDescent="0.25">
      <c r="A6" s="15">
        <v>2</v>
      </c>
      <c r="B6" s="233" t="s">
        <v>851</v>
      </c>
      <c r="C6" s="237">
        <v>45769</v>
      </c>
      <c r="D6" s="237">
        <v>45800</v>
      </c>
      <c r="E6" s="15" t="s">
        <v>697</v>
      </c>
      <c r="F6" s="15" t="s">
        <v>619</v>
      </c>
    </row>
    <row r="7" spans="1:6" s="15" customFormat="1" ht="21.95" customHeight="1" x14ac:dyDescent="0.25">
      <c r="A7" s="15">
        <v>3</v>
      </c>
      <c r="B7" s="233" t="s">
        <v>851</v>
      </c>
      <c r="C7" s="237">
        <v>45769</v>
      </c>
      <c r="D7" s="237">
        <v>45800</v>
      </c>
      <c r="E7" s="15" t="s">
        <v>670</v>
      </c>
      <c r="F7" s="15" t="s">
        <v>567</v>
      </c>
    </row>
    <row r="8" spans="1:6" s="15" customFormat="1" ht="21.95" customHeight="1" x14ac:dyDescent="0.25">
      <c r="A8" s="15">
        <v>4</v>
      </c>
      <c r="B8" s="233" t="s">
        <v>852</v>
      </c>
      <c r="C8" s="237">
        <v>45769</v>
      </c>
      <c r="D8" s="237">
        <v>45800</v>
      </c>
      <c r="E8" s="15" t="s">
        <v>698</v>
      </c>
      <c r="F8" s="15" t="s">
        <v>613</v>
      </c>
    </row>
    <row r="9" spans="1:6" s="15" customFormat="1" ht="21.95" customHeight="1" x14ac:dyDescent="0.25">
      <c r="A9" s="15">
        <v>5</v>
      </c>
      <c r="B9" s="233" t="s">
        <v>853</v>
      </c>
      <c r="C9" s="237">
        <v>45769</v>
      </c>
      <c r="D9" s="237">
        <v>45800</v>
      </c>
      <c r="E9" s="15" t="s">
        <v>699</v>
      </c>
      <c r="F9" s="15" t="s">
        <v>341</v>
      </c>
    </row>
    <row r="10" spans="1:6" s="15" customFormat="1" ht="21.95" customHeight="1" x14ac:dyDescent="0.25">
      <c r="A10" s="15">
        <v>6</v>
      </c>
      <c r="B10" s="233" t="s">
        <v>854</v>
      </c>
      <c r="C10" s="237">
        <v>45769</v>
      </c>
      <c r="D10" s="237">
        <v>45800</v>
      </c>
      <c r="E10" s="15" t="s">
        <v>700</v>
      </c>
      <c r="F10" s="15" t="s">
        <v>494</v>
      </c>
    </row>
    <row r="11" spans="1:6" s="15" customFormat="1" ht="21.95" customHeight="1" x14ac:dyDescent="0.25">
      <c r="A11" s="15">
        <v>7</v>
      </c>
      <c r="B11" s="233" t="s">
        <v>853</v>
      </c>
      <c r="C11" s="237">
        <v>45769</v>
      </c>
      <c r="D11" s="237">
        <v>45800</v>
      </c>
      <c r="E11" s="15" t="s">
        <v>866</v>
      </c>
      <c r="F11" s="15" t="s">
        <v>352</v>
      </c>
    </row>
    <row r="12" spans="1:6" s="15" customFormat="1" ht="21.95" customHeight="1" x14ac:dyDescent="0.25">
      <c r="A12" s="15">
        <v>8</v>
      </c>
      <c r="B12" s="233" t="s">
        <v>853</v>
      </c>
      <c r="C12" s="237">
        <v>45769</v>
      </c>
      <c r="D12" s="237">
        <v>45800</v>
      </c>
      <c r="E12" s="15" t="s">
        <v>867</v>
      </c>
      <c r="F12" s="15" t="s">
        <v>487</v>
      </c>
    </row>
    <row r="13" spans="1:6" s="15" customFormat="1" ht="21.95" customHeight="1" x14ac:dyDescent="0.25">
      <c r="A13" s="15">
        <v>9</v>
      </c>
      <c r="B13" s="233" t="s">
        <v>851</v>
      </c>
      <c r="C13" s="237">
        <v>45769</v>
      </c>
      <c r="D13" s="237">
        <v>45800</v>
      </c>
      <c r="E13" s="15" t="s">
        <v>520</v>
      </c>
      <c r="F13" s="15" t="s">
        <v>496</v>
      </c>
    </row>
    <row r="14" spans="1:6" s="15" customFormat="1" ht="21.95" customHeight="1" x14ac:dyDescent="0.25">
      <c r="A14" s="15">
        <v>10</v>
      </c>
      <c r="B14" s="233" t="s">
        <v>853</v>
      </c>
      <c r="C14" s="237">
        <v>45769</v>
      </c>
      <c r="D14" s="237">
        <v>45800</v>
      </c>
      <c r="E14" s="15" t="s">
        <v>866</v>
      </c>
      <c r="F14" s="15" t="s">
        <v>707</v>
      </c>
    </row>
    <row r="15" spans="1:6" s="15" customFormat="1" ht="21.95" customHeight="1" x14ac:dyDescent="0.25">
      <c r="A15" s="15">
        <v>11</v>
      </c>
      <c r="B15" s="233" t="s">
        <v>855</v>
      </c>
      <c r="C15" s="237">
        <v>45769</v>
      </c>
      <c r="D15" s="237">
        <v>45800</v>
      </c>
      <c r="E15" s="15" t="s">
        <v>710</v>
      </c>
      <c r="F15" s="15" t="s">
        <v>702</v>
      </c>
    </row>
    <row r="16" spans="1:6" s="15" customFormat="1" ht="21.95" customHeight="1" x14ac:dyDescent="0.25">
      <c r="A16" s="15">
        <v>12</v>
      </c>
      <c r="B16" s="233" t="s">
        <v>856</v>
      </c>
      <c r="C16" s="237">
        <v>45769</v>
      </c>
      <c r="D16" s="237">
        <v>45800</v>
      </c>
      <c r="E16" s="15" t="s">
        <v>711</v>
      </c>
      <c r="F16" s="15" t="s">
        <v>704</v>
      </c>
    </row>
    <row r="17" spans="1:6" s="15" customFormat="1" ht="21.95" customHeight="1" x14ac:dyDescent="0.25">
      <c r="A17" s="15">
        <v>13</v>
      </c>
      <c r="B17" s="233" t="s">
        <v>857</v>
      </c>
      <c r="C17" s="237">
        <v>45769</v>
      </c>
      <c r="D17" s="237">
        <v>45800</v>
      </c>
      <c r="E17" s="15" t="s">
        <v>712</v>
      </c>
      <c r="F17" s="15" t="s">
        <v>703</v>
      </c>
    </row>
    <row r="18" spans="1:6" s="15" customFormat="1" ht="21.95" customHeight="1" x14ac:dyDescent="0.25">
      <c r="A18" s="15">
        <v>14</v>
      </c>
      <c r="B18" s="233" t="s">
        <v>852</v>
      </c>
      <c r="C18" s="237">
        <v>45769</v>
      </c>
      <c r="D18" s="237">
        <v>45800</v>
      </c>
      <c r="E18" s="15" t="s">
        <v>868</v>
      </c>
      <c r="F18" s="15" t="s">
        <v>708</v>
      </c>
    </row>
    <row r="19" spans="1:6" s="15" customFormat="1" ht="21.95" customHeight="1" x14ac:dyDescent="0.25">
      <c r="A19" s="15">
        <v>15</v>
      </c>
      <c r="B19" s="233" t="s">
        <v>856</v>
      </c>
      <c r="C19" s="237">
        <v>45769</v>
      </c>
      <c r="D19" s="237">
        <v>45800</v>
      </c>
      <c r="E19" s="15" t="s">
        <v>317</v>
      </c>
      <c r="F19" s="15" t="s">
        <v>315</v>
      </c>
    </row>
    <row r="20" spans="1:6" s="15" customFormat="1" ht="21.95" customHeight="1" x14ac:dyDescent="0.25">
      <c r="A20" s="15">
        <v>16</v>
      </c>
      <c r="B20" s="233" t="s">
        <v>858</v>
      </c>
      <c r="C20" s="237">
        <v>45769</v>
      </c>
      <c r="D20" s="237">
        <v>45800</v>
      </c>
      <c r="E20" s="15" t="s">
        <v>869</v>
      </c>
      <c r="F20" s="15" t="s">
        <v>716</v>
      </c>
    </row>
    <row r="21" spans="1:6" s="15" customFormat="1" ht="21.95" customHeight="1" x14ac:dyDescent="0.25">
      <c r="A21" s="15">
        <v>17</v>
      </c>
      <c r="B21" s="233" t="s">
        <v>853</v>
      </c>
      <c r="C21" s="237">
        <v>45769</v>
      </c>
      <c r="D21" s="237">
        <v>45800</v>
      </c>
      <c r="E21" s="15" t="s">
        <v>719</v>
      </c>
      <c r="F21" s="15" t="s">
        <v>717</v>
      </c>
    </row>
    <row r="22" spans="1:6" s="15" customFormat="1" ht="21.95" customHeight="1" x14ac:dyDescent="0.25">
      <c r="A22" s="15">
        <v>18</v>
      </c>
      <c r="B22" s="233" t="s">
        <v>856</v>
      </c>
      <c r="C22" s="237">
        <v>45769</v>
      </c>
      <c r="D22" s="237">
        <v>45800</v>
      </c>
      <c r="E22" s="15" t="s">
        <v>317</v>
      </c>
      <c r="F22" s="15" t="s">
        <v>509</v>
      </c>
    </row>
    <row r="23" spans="1:6" s="15" customFormat="1" ht="21.95" customHeight="1" x14ac:dyDescent="0.25">
      <c r="A23" s="15">
        <v>19</v>
      </c>
      <c r="B23" s="233" t="s">
        <v>859</v>
      </c>
      <c r="C23" s="237">
        <v>45769</v>
      </c>
      <c r="D23" s="237">
        <v>45800</v>
      </c>
      <c r="E23" s="15" t="s">
        <v>713</v>
      </c>
      <c r="F23" s="15" t="s">
        <v>605</v>
      </c>
    </row>
    <row r="24" spans="1:6" s="15" customFormat="1" ht="21.95" customHeight="1" x14ac:dyDescent="0.25">
      <c r="A24" s="15">
        <v>20</v>
      </c>
      <c r="B24" s="233" t="s">
        <v>693</v>
      </c>
      <c r="C24" s="237">
        <v>45769</v>
      </c>
      <c r="D24" s="237">
        <v>45800</v>
      </c>
      <c r="E24" s="15" t="s">
        <v>713</v>
      </c>
      <c r="F24" s="15" t="s">
        <v>705</v>
      </c>
    </row>
    <row r="25" spans="1:6" s="15" customFormat="1" ht="21.95" customHeight="1" x14ac:dyDescent="0.25">
      <c r="A25" s="15">
        <v>21</v>
      </c>
      <c r="B25" s="233" t="s">
        <v>693</v>
      </c>
      <c r="C25" s="237">
        <v>45769</v>
      </c>
      <c r="D25" s="237">
        <v>45800</v>
      </c>
      <c r="E25" s="15" t="s">
        <v>713</v>
      </c>
      <c r="F25" s="15" t="s">
        <v>706</v>
      </c>
    </row>
    <row r="26" spans="1:6" s="15" customFormat="1" ht="21.95" customHeight="1" x14ac:dyDescent="0.25">
      <c r="A26" s="15">
        <v>22</v>
      </c>
      <c r="B26" s="233" t="s">
        <v>860</v>
      </c>
      <c r="C26" s="237">
        <v>45769</v>
      </c>
      <c r="D26" s="237">
        <v>45800</v>
      </c>
      <c r="E26" s="15" t="s">
        <v>870</v>
      </c>
      <c r="F26" s="15" t="s">
        <v>423</v>
      </c>
    </row>
    <row r="27" spans="1:6" s="15" customFormat="1" ht="21.95" customHeight="1" x14ac:dyDescent="0.25">
      <c r="A27" s="15">
        <v>23</v>
      </c>
      <c r="B27" s="233" t="s">
        <v>852</v>
      </c>
      <c r="C27" s="237">
        <v>45769</v>
      </c>
      <c r="D27" s="237">
        <v>45800</v>
      </c>
      <c r="E27" s="15" t="s">
        <v>871</v>
      </c>
      <c r="F27" s="15" t="s">
        <v>723</v>
      </c>
    </row>
    <row r="28" spans="1:6" s="15" customFormat="1" ht="21.95" customHeight="1" x14ac:dyDescent="0.25">
      <c r="A28" s="15">
        <v>24</v>
      </c>
      <c r="B28" s="233" t="s">
        <v>861</v>
      </c>
      <c r="C28" s="237">
        <v>45769</v>
      </c>
      <c r="D28" s="237">
        <v>45800</v>
      </c>
      <c r="E28" s="15" t="s">
        <v>713</v>
      </c>
      <c r="F28" s="15" t="s">
        <v>720</v>
      </c>
    </row>
    <row r="29" spans="1:6" s="15" customFormat="1" ht="21.95" customHeight="1" x14ac:dyDescent="0.25">
      <c r="A29" s="15">
        <v>25</v>
      </c>
      <c r="B29" s="233" t="s">
        <v>862</v>
      </c>
      <c r="C29" s="237">
        <v>45769</v>
      </c>
      <c r="D29" s="237">
        <v>45800</v>
      </c>
      <c r="E29" s="15" t="s">
        <v>713</v>
      </c>
      <c r="F29" s="15" t="s">
        <v>721</v>
      </c>
    </row>
    <row r="30" spans="1:6" s="15" customFormat="1" ht="21.95" customHeight="1" x14ac:dyDescent="0.25">
      <c r="A30" s="15">
        <v>26</v>
      </c>
      <c r="B30" s="233" t="s">
        <v>863</v>
      </c>
      <c r="C30" s="237">
        <v>45769</v>
      </c>
      <c r="D30" s="237">
        <v>45800</v>
      </c>
      <c r="E30" s="15" t="s">
        <v>713</v>
      </c>
      <c r="F30" s="15" t="s">
        <v>722</v>
      </c>
    </row>
    <row r="31" spans="1:6" s="15" customFormat="1" ht="21.95" customHeight="1" x14ac:dyDescent="0.25">
      <c r="A31" s="15">
        <v>27</v>
      </c>
      <c r="B31" s="233" t="s">
        <v>864</v>
      </c>
      <c r="C31" s="237">
        <v>45769</v>
      </c>
      <c r="D31" s="237">
        <v>45800</v>
      </c>
      <c r="E31" s="15" t="s">
        <v>713</v>
      </c>
      <c r="F31" s="15" t="s">
        <v>723</v>
      </c>
    </row>
    <row r="32" spans="1:6" s="15" customFormat="1" ht="21.95" customHeight="1" x14ac:dyDescent="0.25">
      <c r="A32" s="15">
        <v>1</v>
      </c>
      <c r="B32" s="15" t="s">
        <v>872</v>
      </c>
      <c r="C32" s="237">
        <v>45800</v>
      </c>
      <c r="D32" s="237">
        <v>45824</v>
      </c>
      <c r="E32" s="15" t="s">
        <v>886</v>
      </c>
    </row>
    <row r="33" spans="1:5" s="15" customFormat="1" ht="21.95" customHeight="1" x14ac:dyDescent="0.25">
      <c r="A33" s="15">
        <v>2</v>
      </c>
      <c r="B33" s="15" t="s">
        <v>873</v>
      </c>
      <c r="C33" s="237">
        <v>45800</v>
      </c>
      <c r="D33" s="237">
        <v>45824</v>
      </c>
      <c r="E33" s="15" t="s">
        <v>713</v>
      </c>
    </row>
    <row r="34" spans="1:5" s="15" customFormat="1" ht="21.95" customHeight="1" x14ac:dyDescent="0.25">
      <c r="A34" s="15">
        <v>3</v>
      </c>
      <c r="B34" s="15" t="s">
        <v>874</v>
      </c>
      <c r="C34" s="237">
        <v>45800</v>
      </c>
      <c r="D34" s="237">
        <v>45824</v>
      </c>
      <c r="E34" s="15" t="s">
        <v>713</v>
      </c>
    </row>
    <row r="35" spans="1:5" s="15" customFormat="1" ht="21.95" customHeight="1" x14ac:dyDescent="0.25">
      <c r="A35" s="15">
        <v>4</v>
      </c>
      <c r="B35" s="15" t="s">
        <v>875</v>
      </c>
      <c r="C35" s="237">
        <v>45800</v>
      </c>
      <c r="D35" s="237">
        <v>45824</v>
      </c>
      <c r="E35" s="15" t="s">
        <v>713</v>
      </c>
    </row>
    <row r="36" spans="1:5" s="15" customFormat="1" ht="21.95" customHeight="1" x14ac:dyDescent="0.25">
      <c r="A36" s="15">
        <v>5</v>
      </c>
      <c r="B36" s="15" t="s">
        <v>876</v>
      </c>
      <c r="C36" s="237">
        <v>45800</v>
      </c>
      <c r="D36" s="237">
        <v>45824</v>
      </c>
      <c r="E36" s="15" t="s">
        <v>783</v>
      </c>
    </row>
    <row r="37" spans="1:5" s="15" customFormat="1" ht="21.95" customHeight="1" x14ac:dyDescent="0.25">
      <c r="A37" s="15">
        <v>6</v>
      </c>
      <c r="B37" s="15" t="s">
        <v>877</v>
      </c>
      <c r="C37" s="237">
        <v>45800</v>
      </c>
      <c r="D37" s="237">
        <v>45824</v>
      </c>
      <c r="E37" s="15" t="s">
        <v>887</v>
      </c>
    </row>
    <row r="38" spans="1:5" s="15" customFormat="1" ht="21.95" customHeight="1" x14ac:dyDescent="0.25">
      <c r="A38" s="15">
        <v>7</v>
      </c>
      <c r="B38" s="15" t="s">
        <v>878</v>
      </c>
      <c r="C38" s="237">
        <v>45800</v>
      </c>
      <c r="D38" s="237">
        <v>45824</v>
      </c>
      <c r="E38" s="15" t="s">
        <v>888</v>
      </c>
    </row>
    <row r="39" spans="1:5" s="15" customFormat="1" ht="21.95" customHeight="1" x14ac:dyDescent="0.25">
      <c r="A39" s="15">
        <v>8</v>
      </c>
      <c r="B39" s="15" t="s">
        <v>879</v>
      </c>
      <c r="C39" s="237">
        <v>45800</v>
      </c>
      <c r="D39" s="237">
        <v>45824</v>
      </c>
      <c r="E39" s="15" t="s">
        <v>889</v>
      </c>
    </row>
    <row r="40" spans="1:5" s="15" customFormat="1" ht="21.95" customHeight="1" x14ac:dyDescent="0.25">
      <c r="A40" s="15">
        <v>9</v>
      </c>
      <c r="B40" s="15" t="s">
        <v>880</v>
      </c>
      <c r="C40" s="237">
        <v>45800</v>
      </c>
      <c r="D40" s="237">
        <v>45824</v>
      </c>
      <c r="E40" s="15" t="s">
        <v>890</v>
      </c>
    </row>
    <row r="41" spans="1:5" s="15" customFormat="1" ht="21.95" customHeight="1" x14ac:dyDescent="0.25">
      <c r="A41" s="15">
        <v>10</v>
      </c>
      <c r="B41" s="15" t="s">
        <v>881</v>
      </c>
      <c r="C41" s="237">
        <v>45800</v>
      </c>
      <c r="D41" s="237">
        <v>45824</v>
      </c>
      <c r="E41" s="15" t="s">
        <v>891</v>
      </c>
    </row>
    <row r="42" spans="1:5" s="15" customFormat="1" ht="21.95" customHeight="1" x14ac:dyDescent="0.25">
      <c r="A42" s="15">
        <v>11</v>
      </c>
      <c r="B42" s="15" t="s">
        <v>882</v>
      </c>
      <c r="C42" s="237">
        <v>45800</v>
      </c>
      <c r="D42" s="237">
        <v>45824</v>
      </c>
      <c r="E42" s="15" t="s">
        <v>892</v>
      </c>
    </row>
    <row r="43" spans="1:5" s="15" customFormat="1" ht="21.95" customHeight="1" x14ac:dyDescent="0.25">
      <c r="A43" s="15">
        <v>12</v>
      </c>
      <c r="B43" s="15" t="s">
        <v>883</v>
      </c>
      <c r="C43" s="237">
        <v>45800</v>
      </c>
      <c r="D43" s="237">
        <v>45824</v>
      </c>
      <c r="E43" s="15" t="s">
        <v>893</v>
      </c>
    </row>
    <row r="44" spans="1:5" s="15" customFormat="1" ht="21.95" customHeight="1" x14ac:dyDescent="0.25">
      <c r="A44" s="15">
        <v>13</v>
      </c>
      <c r="B44" s="15" t="s">
        <v>884</v>
      </c>
      <c r="C44" s="237">
        <v>45800</v>
      </c>
      <c r="D44" s="237">
        <v>45824</v>
      </c>
      <c r="E44" s="15" t="s">
        <v>894</v>
      </c>
    </row>
    <row r="45" spans="1:5" s="15" customFormat="1" ht="21.95" customHeight="1" x14ac:dyDescent="0.25">
      <c r="A45" s="15">
        <v>14</v>
      </c>
      <c r="B45" s="15" t="s">
        <v>885</v>
      </c>
      <c r="C45" s="237">
        <v>45800</v>
      </c>
      <c r="D45" s="237">
        <v>45824</v>
      </c>
      <c r="E45" s="15" t="s">
        <v>895</v>
      </c>
    </row>
    <row r="46" spans="1:5" s="15" customFormat="1" ht="21.95" customHeight="1" x14ac:dyDescent="0.25">
      <c r="A46" s="15">
        <v>1</v>
      </c>
      <c r="B46" s="15" t="s">
        <v>896</v>
      </c>
      <c r="C46" s="237">
        <v>45824</v>
      </c>
      <c r="D46" s="237">
        <v>45841</v>
      </c>
      <c r="E46" s="15" t="s">
        <v>564</v>
      </c>
    </row>
    <row r="47" spans="1:5" s="15" customFormat="1" ht="21.95" customHeight="1" x14ac:dyDescent="0.25">
      <c r="A47" s="15">
        <v>2</v>
      </c>
      <c r="B47" s="15" t="s">
        <v>897</v>
      </c>
      <c r="C47" s="237">
        <v>45824</v>
      </c>
      <c r="D47" s="237">
        <v>45841</v>
      </c>
      <c r="E47" s="15" t="s">
        <v>913</v>
      </c>
    </row>
    <row r="48" spans="1:5" s="15" customFormat="1" ht="21.95" customHeight="1" x14ac:dyDescent="0.25">
      <c r="A48" s="15">
        <v>3</v>
      </c>
      <c r="B48" s="15" t="s">
        <v>898</v>
      </c>
      <c r="C48" s="237">
        <v>45824</v>
      </c>
      <c r="D48" s="237">
        <v>45841</v>
      </c>
      <c r="E48" s="15" t="s">
        <v>564</v>
      </c>
    </row>
    <row r="49" spans="1:5" s="15" customFormat="1" ht="21.95" customHeight="1" x14ac:dyDescent="0.25">
      <c r="A49" s="15">
        <v>4</v>
      </c>
      <c r="B49" s="15" t="s">
        <v>899</v>
      </c>
      <c r="C49" s="237">
        <v>45824</v>
      </c>
      <c r="D49" s="237">
        <v>45841</v>
      </c>
      <c r="E49" s="15" t="s">
        <v>564</v>
      </c>
    </row>
    <row r="50" spans="1:5" s="15" customFormat="1" ht="21.95" customHeight="1" x14ac:dyDescent="0.25">
      <c r="A50" s="15">
        <v>5</v>
      </c>
      <c r="B50" s="15" t="s">
        <v>900</v>
      </c>
      <c r="C50" s="237">
        <v>45824</v>
      </c>
      <c r="D50" s="237">
        <v>45841</v>
      </c>
      <c r="E50" s="15" t="s">
        <v>914</v>
      </c>
    </row>
    <row r="51" spans="1:5" s="15" customFormat="1" ht="21.95" customHeight="1" x14ac:dyDescent="0.25">
      <c r="A51" s="15">
        <v>6</v>
      </c>
      <c r="B51" s="15" t="s">
        <v>901</v>
      </c>
      <c r="C51" s="237">
        <v>45824</v>
      </c>
      <c r="D51" s="237">
        <v>45841</v>
      </c>
      <c r="E51" s="15" t="s">
        <v>915</v>
      </c>
    </row>
    <row r="52" spans="1:5" s="15" customFormat="1" ht="21.95" customHeight="1" x14ac:dyDescent="0.25">
      <c r="A52" s="15">
        <v>7</v>
      </c>
      <c r="B52" s="15" t="s">
        <v>902</v>
      </c>
      <c r="C52" s="237">
        <v>45824</v>
      </c>
      <c r="D52" s="237">
        <v>45841</v>
      </c>
      <c r="E52" s="15" t="s">
        <v>892</v>
      </c>
    </row>
    <row r="53" spans="1:5" s="15" customFormat="1" ht="21.95" customHeight="1" x14ac:dyDescent="0.25">
      <c r="A53" s="15">
        <v>8</v>
      </c>
      <c r="B53" s="15" t="s">
        <v>903</v>
      </c>
      <c r="C53" s="237">
        <v>45824</v>
      </c>
      <c r="D53" s="237">
        <v>45841</v>
      </c>
      <c r="E53" s="15" t="s">
        <v>916</v>
      </c>
    </row>
    <row r="54" spans="1:5" s="15" customFormat="1" ht="21.95" customHeight="1" x14ac:dyDescent="0.25">
      <c r="A54" s="15">
        <v>9</v>
      </c>
      <c r="B54" s="15" t="s">
        <v>904</v>
      </c>
      <c r="C54" s="237">
        <v>45824</v>
      </c>
      <c r="D54" s="237">
        <v>45841</v>
      </c>
      <c r="E54" s="15" t="s">
        <v>917</v>
      </c>
    </row>
    <row r="55" spans="1:5" s="15" customFormat="1" ht="21.95" customHeight="1" x14ac:dyDescent="0.25">
      <c r="A55" s="15">
        <v>10</v>
      </c>
      <c r="B55" s="15" t="s">
        <v>905</v>
      </c>
      <c r="C55" s="237">
        <v>45824</v>
      </c>
      <c r="D55" s="237">
        <v>45841</v>
      </c>
      <c r="E55" s="15" t="s">
        <v>918</v>
      </c>
    </row>
    <row r="56" spans="1:5" s="15" customFormat="1" ht="21.95" customHeight="1" x14ac:dyDescent="0.25">
      <c r="A56" s="15">
        <v>11</v>
      </c>
      <c r="B56" s="15" t="s">
        <v>906</v>
      </c>
      <c r="C56" s="237">
        <v>45824</v>
      </c>
      <c r="D56" s="237">
        <v>45841</v>
      </c>
      <c r="E56" s="15" t="s">
        <v>918</v>
      </c>
    </row>
    <row r="57" spans="1:5" s="15" customFormat="1" ht="21.95" customHeight="1" x14ac:dyDescent="0.25">
      <c r="A57" s="15">
        <v>12</v>
      </c>
      <c r="B57" s="15" t="s">
        <v>907</v>
      </c>
      <c r="C57" s="237">
        <v>45824</v>
      </c>
      <c r="D57" s="237">
        <v>45841</v>
      </c>
      <c r="E57" s="15" t="s">
        <v>919</v>
      </c>
    </row>
    <row r="58" spans="1:5" s="15" customFormat="1" ht="21.95" customHeight="1" x14ac:dyDescent="0.25">
      <c r="A58" s="15">
        <v>13</v>
      </c>
      <c r="B58" s="15" t="s">
        <v>908</v>
      </c>
      <c r="C58" s="237">
        <v>45824</v>
      </c>
      <c r="D58" s="237">
        <v>45841</v>
      </c>
      <c r="E58" s="15" t="s">
        <v>919</v>
      </c>
    </row>
    <row r="59" spans="1:5" s="15" customFormat="1" ht="21.95" customHeight="1" x14ac:dyDescent="0.25">
      <c r="A59" s="15">
        <v>14</v>
      </c>
      <c r="B59" s="15" t="s">
        <v>909</v>
      </c>
      <c r="C59" s="237">
        <v>45824</v>
      </c>
      <c r="D59" s="237">
        <v>45841</v>
      </c>
      <c r="E59" s="15" t="s">
        <v>919</v>
      </c>
    </row>
    <row r="60" spans="1:5" s="15" customFormat="1" ht="21.95" customHeight="1" x14ac:dyDescent="0.25">
      <c r="A60" s="15">
        <v>15</v>
      </c>
      <c r="B60" s="15" t="s">
        <v>910</v>
      </c>
      <c r="C60" s="237">
        <v>45824</v>
      </c>
      <c r="D60" s="237">
        <v>45841</v>
      </c>
      <c r="E60" s="15" t="s">
        <v>919</v>
      </c>
    </row>
    <row r="61" spans="1:5" s="15" customFormat="1" ht="21.95" customHeight="1" x14ac:dyDescent="0.25">
      <c r="A61" s="15">
        <v>16</v>
      </c>
      <c r="B61" s="15" t="s">
        <v>911</v>
      </c>
      <c r="C61" s="237">
        <v>45824</v>
      </c>
      <c r="D61" s="237">
        <v>45841</v>
      </c>
      <c r="E61" s="15" t="s">
        <v>919</v>
      </c>
    </row>
    <row r="62" spans="1:5" s="15" customFormat="1" ht="21.95" customHeight="1" x14ac:dyDescent="0.25">
      <c r="A62" s="15">
        <v>17</v>
      </c>
      <c r="B62" s="15" t="s">
        <v>912</v>
      </c>
      <c r="C62" s="237">
        <v>45824</v>
      </c>
      <c r="D62" s="237">
        <v>45841</v>
      </c>
      <c r="E62" s="15" t="s">
        <v>919</v>
      </c>
    </row>
    <row r="63" spans="1:5" s="12" customFormat="1" ht="21.95" customHeight="1" x14ac:dyDescent="0.25">
      <c r="A63" s="15">
        <v>1</v>
      </c>
      <c r="B63" s="12" t="s">
        <v>930</v>
      </c>
      <c r="C63" s="237">
        <v>45841</v>
      </c>
      <c r="E63" s="15" t="s">
        <v>674</v>
      </c>
    </row>
    <row r="64" spans="1:5" s="12" customFormat="1" ht="21.95" customHeight="1" x14ac:dyDescent="0.25">
      <c r="A64" s="15">
        <v>2</v>
      </c>
      <c r="B64" s="12" t="s">
        <v>921</v>
      </c>
      <c r="C64" s="237">
        <v>45841</v>
      </c>
      <c r="E64" s="15" t="s">
        <v>931</v>
      </c>
    </row>
    <row r="65" spans="1:5" s="12" customFormat="1" ht="21.95" customHeight="1" x14ac:dyDescent="0.25">
      <c r="A65" s="15">
        <v>3</v>
      </c>
      <c r="B65" s="12" t="s">
        <v>922</v>
      </c>
      <c r="C65" s="237">
        <v>45841</v>
      </c>
      <c r="E65" s="15" t="s">
        <v>782</v>
      </c>
    </row>
    <row r="66" spans="1:5" s="12" customFormat="1" ht="21.95" customHeight="1" x14ac:dyDescent="0.25">
      <c r="A66" s="15">
        <v>4</v>
      </c>
      <c r="B66" s="12" t="s">
        <v>929</v>
      </c>
      <c r="C66" s="237">
        <v>45841</v>
      </c>
      <c r="E66" s="15" t="s">
        <v>564</v>
      </c>
    </row>
    <row r="67" spans="1:5" s="12" customFormat="1" ht="21.95" customHeight="1" x14ac:dyDescent="0.25">
      <c r="A67" s="15">
        <v>5</v>
      </c>
      <c r="B67" s="12" t="s">
        <v>928</v>
      </c>
      <c r="C67" s="237">
        <v>45841</v>
      </c>
      <c r="E67" s="15" t="s">
        <v>892</v>
      </c>
    </row>
    <row r="68" spans="1:5" s="12" customFormat="1" ht="21.95" customHeight="1" x14ac:dyDescent="0.25">
      <c r="A68" s="15">
        <v>6</v>
      </c>
      <c r="B68" s="12" t="s">
        <v>923</v>
      </c>
      <c r="C68" s="237">
        <v>45841</v>
      </c>
      <c r="E68" s="15" t="s">
        <v>932</v>
      </c>
    </row>
    <row r="69" spans="1:5" s="12" customFormat="1" ht="21.95" customHeight="1" x14ac:dyDescent="0.25">
      <c r="A69" s="15">
        <v>7</v>
      </c>
      <c r="B69" s="12" t="s">
        <v>924</v>
      </c>
      <c r="C69" s="237">
        <v>45841</v>
      </c>
      <c r="E69" s="15" t="s">
        <v>933</v>
      </c>
    </row>
    <row r="70" spans="1:5" s="12" customFormat="1" ht="21.95" customHeight="1" x14ac:dyDescent="0.25">
      <c r="A70" s="15">
        <v>8</v>
      </c>
      <c r="B70" s="12" t="s">
        <v>925</v>
      </c>
      <c r="C70" s="237">
        <v>45841</v>
      </c>
      <c r="E70" s="15" t="s">
        <v>934</v>
      </c>
    </row>
    <row r="71" spans="1:5" s="12" customFormat="1" ht="21.95" customHeight="1" x14ac:dyDescent="0.25">
      <c r="A71" s="15">
        <v>9</v>
      </c>
      <c r="B71" s="12" t="s">
        <v>926</v>
      </c>
      <c r="C71" s="237">
        <v>45841</v>
      </c>
      <c r="E71" s="15" t="s">
        <v>783</v>
      </c>
    </row>
    <row r="72" spans="1:5" s="12" customFormat="1" ht="21.95" customHeight="1" x14ac:dyDescent="0.25">
      <c r="A72" s="15">
        <v>10</v>
      </c>
      <c r="B72" s="12" t="s">
        <v>927</v>
      </c>
      <c r="C72" s="237">
        <v>45841</v>
      </c>
      <c r="E72" s="15" t="s">
        <v>935</v>
      </c>
    </row>
    <row r="73" spans="1:5" s="12" customFormat="1" ht="21.9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8E5E-099B-4ED7-BE4A-A6441ACC4749}">
  <dimension ref="A1:N133"/>
  <sheetViews>
    <sheetView zoomScale="115" zoomScaleNormal="115" workbookViewId="0">
      <pane xSplit="1" ySplit="4" topLeftCell="B125" activePane="bottomRight" state="frozen"/>
      <selection pane="topRight" activeCell="B1" sqref="B1"/>
      <selection pane="bottomLeft" activeCell="A5" sqref="A5"/>
      <selection pane="bottomRight" activeCell="A2" sqref="A2:J2"/>
    </sheetView>
  </sheetViews>
  <sheetFormatPr defaultRowHeight="15" x14ac:dyDescent="0.25"/>
  <cols>
    <col min="1" max="1" width="11.42578125" style="11" bestFit="1" customWidth="1"/>
    <col min="2" max="2" width="9.7109375" style="15" customWidth="1"/>
    <col min="3" max="3" width="8" style="15" customWidth="1"/>
    <col min="4" max="6" width="20.28515625" style="13" customWidth="1"/>
    <col min="7" max="7" width="34.140625" customWidth="1"/>
    <col min="8" max="8" width="21.28515625" customWidth="1"/>
    <col min="9" max="9" width="26.85546875" bestFit="1" customWidth="1"/>
    <col min="10" max="10" width="40" bestFit="1" customWidth="1"/>
    <col min="11" max="11" width="9.140625" style="11"/>
    <col min="12" max="12" width="20.5703125" bestFit="1" customWidth="1"/>
    <col min="13" max="13" width="21" style="12" bestFit="1" customWidth="1"/>
    <col min="14" max="14" width="21" bestFit="1" customWidth="1"/>
    <col min="257" max="257" width="10.85546875" customWidth="1"/>
    <col min="258" max="259" width="8" customWidth="1"/>
    <col min="260" max="262" width="20.28515625" customWidth="1"/>
    <col min="263" max="263" width="34.140625" customWidth="1"/>
    <col min="264" max="264" width="21.28515625" customWidth="1"/>
    <col min="265" max="265" width="22.7109375" customWidth="1"/>
    <col min="266" max="266" width="36.7109375" customWidth="1"/>
    <col min="268" max="268" width="5.7109375" customWidth="1"/>
    <col min="269" max="269" width="6.42578125" customWidth="1"/>
    <col min="513" max="513" width="10.85546875" customWidth="1"/>
    <col min="514" max="515" width="8" customWidth="1"/>
    <col min="516" max="518" width="20.28515625" customWidth="1"/>
    <col min="519" max="519" width="34.140625" customWidth="1"/>
    <col min="520" max="520" width="21.28515625" customWidth="1"/>
    <col min="521" max="521" width="22.7109375" customWidth="1"/>
    <col min="522" max="522" width="36.7109375" customWidth="1"/>
    <col min="524" max="524" width="5.7109375" customWidth="1"/>
    <col min="525" max="525" width="6.42578125" customWidth="1"/>
    <col min="769" max="769" width="10.85546875" customWidth="1"/>
    <col min="770" max="771" width="8" customWidth="1"/>
    <col min="772" max="774" width="20.28515625" customWidth="1"/>
    <col min="775" max="775" width="34.140625" customWidth="1"/>
    <col min="776" max="776" width="21.28515625" customWidth="1"/>
    <col min="777" max="777" width="22.7109375" customWidth="1"/>
    <col min="778" max="778" width="36.7109375" customWidth="1"/>
    <col min="780" max="780" width="5.7109375" customWidth="1"/>
    <col min="781" max="781" width="6.42578125" customWidth="1"/>
    <col min="1025" max="1025" width="10.85546875" customWidth="1"/>
    <col min="1026" max="1027" width="8" customWidth="1"/>
    <col min="1028" max="1030" width="20.28515625" customWidth="1"/>
    <col min="1031" max="1031" width="34.140625" customWidth="1"/>
    <col min="1032" max="1032" width="21.28515625" customWidth="1"/>
    <col min="1033" max="1033" width="22.7109375" customWidth="1"/>
    <col min="1034" max="1034" width="36.7109375" customWidth="1"/>
    <col min="1036" max="1036" width="5.7109375" customWidth="1"/>
    <col min="1037" max="1037" width="6.42578125" customWidth="1"/>
    <col min="1281" max="1281" width="10.85546875" customWidth="1"/>
    <col min="1282" max="1283" width="8" customWidth="1"/>
    <col min="1284" max="1286" width="20.28515625" customWidth="1"/>
    <col min="1287" max="1287" width="34.140625" customWidth="1"/>
    <col min="1288" max="1288" width="21.28515625" customWidth="1"/>
    <col min="1289" max="1289" width="22.7109375" customWidth="1"/>
    <col min="1290" max="1290" width="36.7109375" customWidth="1"/>
    <col min="1292" max="1292" width="5.7109375" customWidth="1"/>
    <col min="1293" max="1293" width="6.42578125" customWidth="1"/>
    <col min="1537" max="1537" width="10.85546875" customWidth="1"/>
    <col min="1538" max="1539" width="8" customWidth="1"/>
    <col min="1540" max="1542" width="20.28515625" customWidth="1"/>
    <col min="1543" max="1543" width="34.140625" customWidth="1"/>
    <col min="1544" max="1544" width="21.28515625" customWidth="1"/>
    <col min="1545" max="1545" width="22.7109375" customWidth="1"/>
    <col min="1546" max="1546" width="36.7109375" customWidth="1"/>
    <col min="1548" max="1548" width="5.7109375" customWidth="1"/>
    <col min="1549" max="1549" width="6.42578125" customWidth="1"/>
    <col min="1793" max="1793" width="10.85546875" customWidth="1"/>
    <col min="1794" max="1795" width="8" customWidth="1"/>
    <col min="1796" max="1798" width="20.28515625" customWidth="1"/>
    <col min="1799" max="1799" width="34.140625" customWidth="1"/>
    <col min="1800" max="1800" width="21.28515625" customWidth="1"/>
    <col min="1801" max="1801" width="22.7109375" customWidth="1"/>
    <col min="1802" max="1802" width="36.7109375" customWidth="1"/>
    <col min="1804" max="1804" width="5.7109375" customWidth="1"/>
    <col min="1805" max="1805" width="6.42578125" customWidth="1"/>
    <col min="2049" max="2049" width="10.85546875" customWidth="1"/>
    <col min="2050" max="2051" width="8" customWidth="1"/>
    <col min="2052" max="2054" width="20.28515625" customWidth="1"/>
    <col min="2055" max="2055" width="34.140625" customWidth="1"/>
    <col min="2056" max="2056" width="21.28515625" customWidth="1"/>
    <col min="2057" max="2057" width="22.7109375" customWidth="1"/>
    <col min="2058" max="2058" width="36.7109375" customWidth="1"/>
    <col min="2060" max="2060" width="5.7109375" customWidth="1"/>
    <col min="2061" max="2061" width="6.42578125" customWidth="1"/>
    <col min="2305" max="2305" width="10.85546875" customWidth="1"/>
    <col min="2306" max="2307" width="8" customWidth="1"/>
    <col min="2308" max="2310" width="20.28515625" customWidth="1"/>
    <col min="2311" max="2311" width="34.140625" customWidth="1"/>
    <col min="2312" max="2312" width="21.28515625" customWidth="1"/>
    <col min="2313" max="2313" width="22.7109375" customWidth="1"/>
    <col min="2314" max="2314" width="36.7109375" customWidth="1"/>
    <col min="2316" max="2316" width="5.7109375" customWidth="1"/>
    <col min="2317" max="2317" width="6.42578125" customWidth="1"/>
    <col min="2561" max="2561" width="10.85546875" customWidth="1"/>
    <col min="2562" max="2563" width="8" customWidth="1"/>
    <col min="2564" max="2566" width="20.28515625" customWidth="1"/>
    <col min="2567" max="2567" width="34.140625" customWidth="1"/>
    <col min="2568" max="2568" width="21.28515625" customWidth="1"/>
    <col min="2569" max="2569" width="22.7109375" customWidth="1"/>
    <col min="2570" max="2570" width="36.7109375" customWidth="1"/>
    <col min="2572" max="2572" width="5.7109375" customWidth="1"/>
    <col min="2573" max="2573" width="6.42578125" customWidth="1"/>
    <col min="2817" max="2817" width="10.85546875" customWidth="1"/>
    <col min="2818" max="2819" width="8" customWidth="1"/>
    <col min="2820" max="2822" width="20.28515625" customWidth="1"/>
    <col min="2823" max="2823" width="34.140625" customWidth="1"/>
    <col min="2824" max="2824" width="21.28515625" customWidth="1"/>
    <col min="2825" max="2825" width="22.7109375" customWidth="1"/>
    <col min="2826" max="2826" width="36.7109375" customWidth="1"/>
    <col min="2828" max="2828" width="5.7109375" customWidth="1"/>
    <col min="2829" max="2829" width="6.42578125" customWidth="1"/>
    <col min="3073" max="3073" width="10.85546875" customWidth="1"/>
    <col min="3074" max="3075" width="8" customWidth="1"/>
    <col min="3076" max="3078" width="20.28515625" customWidth="1"/>
    <col min="3079" max="3079" width="34.140625" customWidth="1"/>
    <col min="3080" max="3080" width="21.28515625" customWidth="1"/>
    <col min="3081" max="3081" width="22.7109375" customWidth="1"/>
    <col min="3082" max="3082" width="36.7109375" customWidth="1"/>
    <col min="3084" max="3084" width="5.7109375" customWidth="1"/>
    <col min="3085" max="3085" width="6.42578125" customWidth="1"/>
    <col min="3329" max="3329" width="10.85546875" customWidth="1"/>
    <col min="3330" max="3331" width="8" customWidth="1"/>
    <col min="3332" max="3334" width="20.28515625" customWidth="1"/>
    <col min="3335" max="3335" width="34.140625" customWidth="1"/>
    <col min="3336" max="3336" width="21.28515625" customWidth="1"/>
    <col min="3337" max="3337" width="22.7109375" customWidth="1"/>
    <col min="3338" max="3338" width="36.7109375" customWidth="1"/>
    <col min="3340" max="3340" width="5.7109375" customWidth="1"/>
    <col min="3341" max="3341" width="6.42578125" customWidth="1"/>
    <col min="3585" max="3585" width="10.85546875" customWidth="1"/>
    <col min="3586" max="3587" width="8" customWidth="1"/>
    <col min="3588" max="3590" width="20.28515625" customWidth="1"/>
    <col min="3591" max="3591" width="34.140625" customWidth="1"/>
    <col min="3592" max="3592" width="21.28515625" customWidth="1"/>
    <col min="3593" max="3593" width="22.7109375" customWidth="1"/>
    <col min="3594" max="3594" width="36.7109375" customWidth="1"/>
    <col min="3596" max="3596" width="5.7109375" customWidth="1"/>
    <col min="3597" max="3597" width="6.42578125" customWidth="1"/>
    <col min="3841" max="3841" width="10.85546875" customWidth="1"/>
    <col min="3842" max="3843" width="8" customWidth="1"/>
    <col min="3844" max="3846" width="20.28515625" customWidth="1"/>
    <col min="3847" max="3847" width="34.140625" customWidth="1"/>
    <col min="3848" max="3848" width="21.28515625" customWidth="1"/>
    <col min="3849" max="3849" width="22.7109375" customWidth="1"/>
    <col min="3850" max="3850" width="36.7109375" customWidth="1"/>
    <col min="3852" max="3852" width="5.7109375" customWidth="1"/>
    <col min="3853" max="3853" width="6.42578125" customWidth="1"/>
    <col min="4097" max="4097" width="10.85546875" customWidth="1"/>
    <col min="4098" max="4099" width="8" customWidth="1"/>
    <col min="4100" max="4102" width="20.28515625" customWidth="1"/>
    <col min="4103" max="4103" width="34.140625" customWidth="1"/>
    <col min="4104" max="4104" width="21.28515625" customWidth="1"/>
    <col min="4105" max="4105" width="22.7109375" customWidth="1"/>
    <col min="4106" max="4106" width="36.7109375" customWidth="1"/>
    <col min="4108" max="4108" width="5.7109375" customWidth="1"/>
    <col min="4109" max="4109" width="6.42578125" customWidth="1"/>
    <col min="4353" max="4353" width="10.85546875" customWidth="1"/>
    <col min="4354" max="4355" width="8" customWidth="1"/>
    <col min="4356" max="4358" width="20.28515625" customWidth="1"/>
    <col min="4359" max="4359" width="34.140625" customWidth="1"/>
    <col min="4360" max="4360" width="21.28515625" customWidth="1"/>
    <col min="4361" max="4361" width="22.7109375" customWidth="1"/>
    <col min="4362" max="4362" width="36.7109375" customWidth="1"/>
    <col min="4364" max="4364" width="5.7109375" customWidth="1"/>
    <col min="4365" max="4365" width="6.42578125" customWidth="1"/>
    <col min="4609" max="4609" width="10.85546875" customWidth="1"/>
    <col min="4610" max="4611" width="8" customWidth="1"/>
    <col min="4612" max="4614" width="20.28515625" customWidth="1"/>
    <col min="4615" max="4615" width="34.140625" customWidth="1"/>
    <col min="4616" max="4616" width="21.28515625" customWidth="1"/>
    <col min="4617" max="4617" width="22.7109375" customWidth="1"/>
    <col min="4618" max="4618" width="36.7109375" customWidth="1"/>
    <col min="4620" max="4620" width="5.7109375" customWidth="1"/>
    <col min="4621" max="4621" width="6.42578125" customWidth="1"/>
    <col min="4865" max="4865" width="10.85546875" customWidth="1"/>
    <col min="4866" max="4867" width="8" customWidth="1"/>
    <col min="4868" max="4870" width="20.28515625" customWidth="1"/>
    <col min="4871" max="4871" width="34.140625" customWidth="1"/>
    <col min="4872" max="4872" width="21.28515625" customWidth="1"/>
    <col min="4873" max="4873" width="22.7109375" customWidth="1"/>
    <col min="4874" max="4874" width="36.7109375" customWidth="1"/>
    <col min="4876" max="4876" width="5.7109375" customWidth="1"/>
    <col min="4877" max="4877" width="6.42578125" customWidth="1"/>
    <col min="5121" max="5121" width="10.85546875" customWidth="1"/>
    <col min="5122" max="5123" width="8" customWidth="1"/>
    <col min="5124" max="5126" width="20.28515625" customWidth="1"/>
    <col min="5127" max="5127" width="34.140625" customWidth="1"/>
    <col min="5128" max="5128" width="21.28515625" customWidth="1"/>
    <col min="5129" max="5129" width="22.7109375" customWidth="1"/>
    <col min="5130" max="5130" width="36.7109375" customWidth="1"/>
    <col min="5132" max="5132" width="5.7109375" customWidth="1"/>
    <col min="5133" max="5133" width="6.42578125" customWidth="1"/>
    <col min="5377" max="5377" width="10.85546875" customWidth="1"/>
    <col min="5378" max="5379" width="8" customWidth="1"/>
    <col min="5380" max="5382" width="20.28515625" customWidth="1"/>
    <col min="5383" max="5383" width="34.140625" customWidth="1"/>
    <col min="5384" max="5384" width="21.28515625" customWidth="1"/>
    <col min="5385" max="5385" width="22.7109375" customWidth="1"/>
    <col min="5386" max="5386" width="36.7109375" customWidth="1"/>
    <col min="5388" max="5388" width="5.7109375" customWidth="1"/>
    <col min="5389" max="5389" width="6.42578125" customWidth="1"/>
    <col min="5633" max="5633" width="10.85546875" customWidth="1"/>
    <col min="5634" max="5635" width="8" customWidth="1"/>
    <col min="5636" max="5638" width="20.28515625" customWidth="1"/>
    <col min="5639" max="5639" width="34.140625" customWidth="1"/>
    <col min="5640" max="5640" width="21.28515625" customWidth="1"/>
    <col min="5641" max="5641" width="22.7109375" customWidth="1"/>
    <col min="5642" max="5642" width="36.7109375" customWidth="1"/>
    <col min="5644" max="5644" width="5.7109375" customWidth="1"/>
    <col min="5645" max="5645" width="6.42578125" customWidth="1"/>
    <col min="5889" max="5889" width="10.85546875" customWidth="1"/>
    <col min="5890" max="5891" width="8" customWidth="1"/>
    <col min="5892" max="5894" width="20.28515625" customWidth="1"/>
    <col min="5895" max="5895" width="34.140625" customWidth="1"/>
    <col min="5896" max="5896" width="21.28515625" customWidth="1"/>
    <col min="5897" max="5897" width="22.7109375" customWidth="1"/>
    <col min="5898" max="5898" width="36.7109375" customWidth="1"/>
    <col min="5900" max="5900" width="5.7109375" customWidth="1"/>
    <col min="5901" max="5901" width="6.42578125" customWidth="1"/>
    <col min="6145" max="6145" width="10.85546875" customWidth="1"/>
    <col min="6146" max="6147" width="8" customWidth="1"/>
    <col min="6148" max="6150" width="20.28515625" customWidth="1"/>
    <col min="6151" max="6151" width="34.140625" customWidth="1"/>
    <col min="6152" max="6152" width="21.28515625" customWidth="1"/>
    <col min="6153" max="6153" width="22.7109375" customWidth="1"/>
    <col min="6154" max="6154" width="36.7109375" customWidth="1"/>
    <col min="6156" max="6156" width="5.7109375" customWidth="1"/>
    <col min="6157" max="6157" width="6.42578125" customWidth="1"/>
    <col min="6401" max="6401" width="10.85546875" customWidth="1"/>
    <col min="6402" max="6403" width="8" customWidth="1"/>
    <col min="6404" max="6406" width="20.28515625" customWidth="1"/>
    <col min="6407" max="6407" width="34.140625" customWidth="1"/>
    <col min="6408" max="6408" width="21.28515625" customWidth="1"/>
    <col min="6409" max="6409" width="22.7109375" customWidth="1"/>
    <col min="6410" max="6410" width="36.7109375" customWidth="1"/>
    <col min="6412" max="6412" width="5.7109375" customWidth="1"/>
    <col min="6413" max="6413" width="6.42578125" customWidth="1"/>
    <col min="6657" max="6657" width="10.85546875" customWidth="1"/>
    <col min="6658" max="6659" width="8" customWidth="1"/>
    <col min="6660" max="6662" width="20.28515625" customWidth="1"/>
    <col min="6663" max="6663" width="34.140625" customWidth="1"/>
    <col min="6664" max="6664" width="21.28515625" customWidth="1"/>
    <col min="6665" max="6665" width="22.7109375" customWidth="1"/>
    <col min="6666" max="6666" width="36.7109375" customWidth="1"/>
    <col min="6668" max="6668" width="5.7109375" customWidth="1"/>
    <col min="6669" max="6669" width="6.42578125" customWidth="1"/>
    <col min="6913" max="6913" width="10.85546875" customWidth="1"/>
    <col min="6914" max="6915" width="8" customWidth="1"/>
    <col min="6916" max="6918" width="20.28515625" customWidth="1"/>
    <col min="6919" max="6919" width="34.140625" customWidth="1"/>
    <col min="6920" max="6920" width="21.28515625" customWidth="1"/>
    <col min="6921" max="6921" width="22.7109375" customWidth="1"/>
    <col min="6922" max="6922" width="36.7109375" customWidth="1"/>
    <col min="6924" max="6924" width="5.7109375" customWidth="1"/>
    <col min="6925" max="6925" width="6.42578125" customWidth="1"/>
    <col min="7169" max="7169" width="10.85546875" customWidth="1"/>
    <col min="7170" max="7171" width="8" customWidth="1"/>
    <col min="7172" max="7174" width="20.28515625" customWidth="1"/>
    <col min="7175" max="7175" width="34.140625" customWidth="1"/>
    <col min="7176" max="7176" width="21.28515625" customWidth="1"/>
    <col min="7177" max="7177" width="22.7109375" customWidth="1"/>
    <col min="7178" max="7178" width="36.7109375" customWidth="1"/>
    <col min="7180" max="7180" width="5.7109375" customWidth="1"/>
    <col min="7181" max="7181" width="6.42578125" customWidth="1"/>
    <col min="7425" max="7425" width="10.85546875" customWidth="1"/>
    <col min="7426" max="7427" width="8" customWidth="1"/>
    <col min="7428" max="7430" width="20.28515625" customWidth="1"/>
    <col min="7431" max="7431" width="34.140625" customWidth="1"/>
    <col min="7432" max="7432" width="21.28515625" customWidth="1"/>
    <col min="7433" max="7433" width="22.7109375" customWidth="1"/>
    <col min="7434" max="7434" width="36.7109375" customWidth="1"/>
    <col min="7436" max="7436" width="5.7109375" customWidth="1"/>
    <col min="7437" max="7437" width="6.42578125" customWidth="1"/>
    <col min="7681" max="7681" width="10.85546875" customWidth="1"/>
    <col min="7682" max="7683" width="8" customWidth="1"/>
    <col min="7684" max="7686" width="20.28515625" customWidth="1"/>
    <col min="7687" max="7687" width="34.140625" customWidth="1"/>
    <col min="7688" max="7688" width="21.28515625" customWidth="1"/>
    <col min="7689" max="7689" width="22.7109375" customWidth="1"/>
    <col min="7690" max="7690" width="36.7109375" customWidth="1"/>
    <col min="7692" max="7692" width="5.7109375" customWidth="1"/>
    <col min="7693" max="7693" width="6.42578125" customWidth="1"/>
    <col min="7937" max="7937" width="10.85546875" customWidth="1"/>
    <col min="7938" max="7939" width="8" customWidth="1"/>
    <col min="7940" max="7942" width="20.28515625" customWidth="1"/>
    <col min="7943" max="7943" width="34.140625" customWidth="1"/>
    <col min="7944" max="7944" width="21.28515625" customWidth="1"/>
    <col min="7945" max="7945" width="22.7109375" customWidth="1"/>
    <col min="7946" max="7946" width="36.7109375" customWidth="1"/>
    <col min="7948" max="7948" width="5.7109375" customWidth="1"/>
    <col min="7949" max="7949" width="6.42578125" customWidth="1"/>
    <col min="8193" max="8193" width="10.85546875" customWidth="1"/>
    <col min="8194" max="8195" width="8" customWidth="1"/>
    <col min="8196" max="8198" width="20.28515625" customWidth="1"/>
    <col min="8199" max="8199" width="34.140625" customWidth="1"/>
    <col min="8200" max="8200" width="21.28515625" customWidth="1"/>
    <col min="8201" max="8201" width="22.7109375" customWidth="1"/>
    <col min="8202" max="8202" width="36.7109375" customWidth="1"/>
    <col min="8204" max="8204" width="5.7109375" customWidth="1"/>
    <col min="8205" max="8205" width="6.42578125" customWidth="1"/>
    <col min="8449" max="8449" width="10.85546875" customWidth="1"/>
    <col min="8450" max="8451" width="8" customWidth="1"/>
    <col min="8452" max="8454" width="20.28515625" customWidth="1"/>
    <col min="8455" max="8455" width="34.140625" customWidth="1"/>
    <col min="8456" max="8456" width="21.28515625" customWidth="1"/>
    <col min="8457" max="8457" width="22.7109375" customWidth="1"/>
    <col min="8458" max="8458" width="36.7109375" customWidth="1"/>
    <col min="8460" max="8460" width="5.7109375" customWidth="1"/>
    <col min="8461" max="8461" width="6.42578125" customWidth="1"/>
    <col min="8705" max="8705" width="10.85546875" customWidth="1"/>
    <col min="8706" max="8707" width="8" customWidth="1"/>
    <col min="8708" max="8710" width="20.28515625" customWidth="1"/>
    <col min="8711" max="8711" width="34.140625" customWidth="1"/>
    <col min="8712" max="8712" width="21.28515625" customWidth="1"/>
    <col min="8713" max="8713" width="22.7109375" customWidth="1"/>
    <col min="8714" max="8714" width="36.7109375" customWidth="1"/>
    <col min="8716" max="8716" width="5.7109375" customWidth="1"/>
    <col min="8717" max="8717" width="6.42578125" customWidth="1"/>
    <col min="8961" max="8961" width="10.85546875" customWidth="1"/>
    <col min="8962" max="8963" width="8" customWidth="1"/>
    <col min="8964" max="8966" width="20.28515625" customWidth="1"/>
    <col min="8967" max="8967" width="34.140625" customWidth="1"/>
    <col min="8968" max="8968" width="21.28515625" customWidth="1"/>
    <col min="8969" max="8969" width="22.7109375" customWidth="1"/>
    <col min="8970" max="8970" width="36.7109375" customWidth="1"/>
    <col min="8972" max="8972" width="5.7109375" customWidth="1"/>
    <col min="8973" max="8973" width="6.42578125" customWidth="1"/>
    <col min="9217" max="9217" width="10.85546875" customWidth="1"/>
    <col min="9218" max="9219" width="8" customWidth="1"/>
    <col min="9220" max="9222" width="20.28515625" customWidth="1"/>
    <col min="9223" max="9223" width="34.140625" customWidth="1"/>
    <col min="9224" max="9224" width="21.28515625" customWidth="1"/>
    <col min="9225" max="9225" width="22.7109375" customWidth="1"/>
    <col min="9226" max="9226" width="36.7109375" customWidth="1"/>
    <col min="9228" max="9228" width="5.7109375" customWidth="1"/>
    <col min="9229" max="9229" width="6.42578125" customWidth="1"/>
    <col min="9473" max="9473" width="10.85546875" customWidth="1"/>
    <col min="9474" max="9475" width="8" customWidth="1"/>
    <col min="9476" max="9478" width="20.28515625" customWidth="1"/>
    <col min="9479" max="9479" width="34.140625" customWidth="1"/>
    <col min="9480" max="9480" width="21.28515625" customWidth="1"/>
    <col min="9481" max="9481" width="22.7109375" customWidth="1"/>
    <col min="9482" max="9482" width="36.7109375" customWidth="1"/>
    <col min="9484" max="9484" width="5.7109375" customWidth="1"/>
    <col min="9485" max="9485" width="6.42578125" customWidth="1"/>
    <col min="9729" max="9729" width="10.85546875" customWidth="1"/>
    <col min="9730" max="9731" width="8" customWidth="1"/>
    <col min="9732" max="9734" width="20.28515625" customWidth="1"/>
    <col min="9735" max="9735" width="34.140625" customWidth="1"/>
    <col min="9736" max="9736" width="21.28515625" customWidth="1"/>
    <col min="9737" max="9737" width="22.7109375" customWidth="1"/>
    <col min="9738" max="9738" width="36.7109375" customWidth="1"/>
    <col min="9740" max="9740" width="5.7109375" customWidth="1"/>
    <col min="9741" max="9741" width="6.42578125" customWidth="1"/>
    <col min="9985" max="9985" width="10.85546875" customWidth="1"/>
    <col min="9986" max="9987" width="8" customWidth="1"/>
    <col min="9988" max="9990" width="20.28515625" customWidth="1"/>
    <col min="9991" max="9991" width="34.140625" customWidth="1"/>
    <col min="9992" max="9992" width="21.28515625" customWidth="1"/>
    <col min="9993" max="9993" width="22.7109375" customWidth="1"/>
    <col min="9994" max="9994" width="36.7109375" customWidth="1"/>
    <col min="9996" max="9996" width="5.7109375" customWidth="1"/>
    <col min="9997" max="9997" width="6.42578125" customWidth="1"/>
    <col min="10241" max="10241" width="10.85546875" customWidth="1"/>
    <col min="10242" max="10243" width="8" customWidth="1"/>
    <col min="10244" max="10246" width="20.28515625" customWidth="1"/>
    <col min="10247" max="10247" width="34.140625" customWidth="1"/>
    <col min="10248" max="10248" width="21.28515625" customWidth="1"/>
    <col min="10249" max="10249" width="22.7109375" customWidth="1"/>
    <col min="10250" max="10250" width="36.7109375" customWidth="1"/>
    <col min="10252" max="10252" width="5.7109375" customWidth="1"/>
    <col min="10253" max="10253" width="6.42578125" customWidth="1"/>
    <col min="10497" max="10497" width="10.85546875" customWidth="1"/>
    <col min="10498" max="10499" width="8" customWidth="1"/>
    <col min="10500" max="10502" width="20.28515625" customWidth="1"/>
    <col min="10503" max="10503" width="34.140625" customWidth="1"/>
    <col min="10504" max="10504" width="21.28515625" customWidth="1"/>
    <col min="10505" max="10505" width="22.7109375" customWidth="1"/>
    <col min="10506" max="10506" width="36.7109375" customWidth="1"/>
    <col min="10508" max="10508" width="5.7109375" customWidth="1"/>
    <col min="10509" max="10509" width="6.42578125" customWidth="1"/>
    <col min="10753" max="10753" width="10.85546875" customWidth="1"/>
    <col min="10754" max="10755" width="8" customWidth="1"/>
    <col min="10756" max="10758" width="20.28515625" customWidth="1"/>
    <col min="10759" max="10759" width="34.140625" customWidth="1"/>
    <col min="10760" max="10760" width="21.28515625" customWidth="1"/>
    <col min="10761" max="10761" width="22.7109375" customWidth="1"/>
    <col min="10762" max="10762" width="36.7109375" customWidth="1"/>
    <col min="10764" max="10764" width="5.7109375" customWidth="1"/>
    <col min="10765" max="10765" width="6.42578125" customWidth="1"/>
    <col min="11009" max="11009" width="10.85546875" customWidth="1"/>
    <col min="11010" max="11011" width="8" customWidth="1"/>
    <col min="11012" max="11014" width="20.28515625" customWidth="1"/>
    <col min="11015" max="11015" width="34.140625" customWidth="1"/>
    <col min="11016" max="11016" width="21.28515625" customWidth="1"/>
    <col min="11017" max="11017" width="22.7109375" customWidth="1"/>
    <col min="11018" max="11018" width="36.7109375" customWidth="1"/>
    <col min="11020" max="11020" width="5.7109375" customWidth="1"/>
    <col min="11021" max="11021" width="6.42578125" customWidth="1"/>
    <col min="11265" max="11265" width="10.85546875" customWidth="1"/>
    <col min="11266" max="11267" width="8" customWidth="1"/>
    <col min="11268" max="11270" width="20.28515625" customWidth="1"/>
    <col min="11271" max="11271" width="34.140625" customWidth="1"/>
    <col min="11272" max="11272" width="21.28515625" customWidth="1"/>
    <col min="11273" max="11273" width="22.7109375" customWidth="1"/>
    <col min="11274" max="11274" width="36.7109375" customWidth="1"/>
    <col min="11276" max="11276" width="5.7109375" customWidth="1"/>
    <col min="11277" max="11277" width="6.42578125" customWidth="1"/>
    <col min="11521" max="11521" width="10.85546875" customWidth="1"/>
    <col min="11522" max="11523" width="8" customWidth="1"/>
    <col min="11524" max="11526" width="20.28515625" customWidth="1"/>
    <col min="11527" max="11527" width="34.140625" customWidth="1"/>
    <col min="11528" max="11528" width="21.28515625" customWidth="1"/>
    <col min="11529" max="11529" width="22.7109375" customWidth="1"/>
    <col min="11530" max="11530" width="36.7109375" customWidth="1"/>
    <col min="11532" max="11532" width="5.7109375" customWidth="1"/>
    <col min="11533" max="11533" width="6.42578125" customWidth="1"/>
    <col min="11777" max="11777" width="10.85546875" customWidth="1"/>
    <col min="11778" max="11779" width="8" customWidth="1"/>
    <col min="11780" max="11782" width="20.28515625" customWidth="1"/>
    <col min="11783" max="11783" width="34.140625" customWidth="1"/>
    <col min="11784" max="11784" width="21.28515625" customWidth="1"/>
    <col min="11785" max="11785" width="22.7109375" customWidth="1"/>
    <col min="11786" max="11786" width="36.7109375" customWidth="1"/>
    <col min="11788" max="11788" width="5.7109375" customWidth="1"/>
    <col min="11789" max="11789" width="6.42578125" customWidth="1"/>
    <col min="12033" max="12033" width="10.85546875" customWidth="1"/>
    <col min="12034" max="12035" width="8" customWidth="1"/>
    <col min="12036" max="12038" width="20.28515625" customWidth="1"/>
    <col min="12039" max="12039" width="34.140625" customWidth="1"/>
    <col min="12040" max="12040" width="21.28515625" customWidth="1"/>
    <col min="12041" max="12041" width="22.7109375" customWidth="1"/>
    <col min="12042" max="12042" width="36.7109375" customWidth="1"/>
    <col min="12044" max="12044" width="5.7109375" customWidth="1"/>
    <col min="12045" max="12045" width="6.42578125" customWidth="1"/>
    <col min="12289" max="12289" width="10.85546875" customWidth="1"/>
    <col min="12290" max="12291" width="8" customWidth="1"/>
    <col min="12292" max="12294" width="20.28515625" customWidth="1"/>
    <col min="12295" max="12295" width="34.140625" customWidth="1"/>
    <col min="12296" max="12296" width="21.28515625" customWidth="1"/>
    <col min="12297" max="12297" width="22.7109375" customWidth="1"/>
    <col min="12298" max="12298" width="36.7109375" customWidth="1"/>
    <col min="12300" max="12300" width="5.7109375" customWidth="1"/>
    <col min="12301" max="12301" width="6.42578125" customWidth="1"/>
    <col min="12545" max="12545" width="10.85546875" customWidth="1"/>
    <col min="12546" max="12547" width="8" customWidth="1"/>
    <col min="12548" max="12550" width="20.28515625" customWidth="1"/>
    <col min="12551" max="12551" width="34.140625" customWidth="1"/>
    <col min="12552" max="12552" width="21.28515625" customWidth="1"/>
    <col min="12553" max="12553" width="22.7109375" customWidth="1"/>
    <col min="12554" max="12554" width="36.7109375" customWidth="1"/>
    <col min="12556" max="12556" width="5.7109375" customWidth="1"/>
    <col min="12557" max="12557" width="6.42578125" customWidth="1"/>
    <col min="12801" max="12801" width="10.85546875" customWidth="1"/>
    <col min="12802" max="12803" width="8" customWidth="1"/>
    <col min="12804" max="12806" width="20.28515625" customWidth="1"/>
    <col min="12807" max="12807" width="34.140625" customWidth="1"/>
    <col min="12808" max="12808" width="21.28515625" customWidth="1"/>
    <col min="12809" max="12809" width="22.7109375" customWidth="1"/>
    <col min="12810" max="12810" width="36.7109375" customWidth="1"/>
    <col min="12812" max="12812" width="5.7109375" customWidth="1"/>
    <col min="12813" max="12813" width="6.42578125" customWidth="1"/>
    <col min="13057" max="13057" width="10.85546875" customWidth="1"/>
    <col min="13058" max="13059" width="8" customWidth="1"/>
    <col min="13060" max="13062" width="20.28515625" customWidth="1"/>
    <col min="13063" max="13063" width="34.140625" customWidth="1"/>
    <col min="13064" max="13064" width="21.28515625" customWidth="1"/>
    <col min="13065" max="13065" width="22.7109375" customWidth="1"/>
    <col min="13066" max="13066" width="36.7109375" customWidth="1"/>
    <col min="13068" max="13068" width="5.7109375" customWidth="1"/>
    <col min="13069" max="13069" width="6.42578125" customWidth="1"/>
    <col min="13313" max="13313" width="10.85546875" customWidth="1"/>
    <col min="13314" max="13315" width="8" customWidth="1"/>
    <col min="13316" max="13318" width="20.28515625" customWidth="1"/>
    <col min="13319" max="13319" width="34.140625" customWidth="1"/>
    <col min="13320" max="13320" width="21.28515625" customWidth="1"/>
    <col min="13321" max="13321" width="22.7109375" customWidth="1"/>
    <col min="13322" max="13322" width="36.7109375" customWidth="1"/>
    <col min="13324" max="13324" width="5.7109375" customWidth="1"/>
    <col min="13325" max="13325" width="6.42578125" customWidth="1"/>
    <col min="13569" max="13569" width="10.85546875" customWidth="1"/>
    <col min="13570" max="13571" width="8" customWidth="1"/>
    <col min="13572" max="13574" width="20.28515625" customWidth="1"/>
    <col min="13575" max="13575" width="34.140625" customWidth="1"/>
    <col min="13576" max="13576" width="21.28515625" customWidth="1"/>
    <col min="13577" max="13577" width="22.7109375" customWidth="1"/>
    <col min="13578" max="13578" width="36.7109375" customWidth="1"/>
    <col min="13580" max="13580" width="5.7109375" customWidth="1"/>
    <col min="13581" max="13581" width="6.42578125" customWidth="1"/>
    <col min="13825" max="13825" width="10.85546875" customWidth="1"/>
    <col min="13826" max="13827" width="8" customWidth="1"/>
    <col min="13828" max="13830" width="20.28515625" customWidth="1"/>
    <col min="13831" max="13831" width="34.140625" customWidth="1"/>
    <col min="13832" max="13832" width="21.28515625" customWidth="1"/>
    <col min="13833" max="13833" width="22.7109375" customWidth="1"/>
    <col min="13834" max="13834" width="36.7109375" customWidth="1"/>
    <col min="13836" max="13836" width="5.7109375" customWidth="1"/>
    <col min="13837" max="13837" width="6.42578125" customWidth="1"/>
    <col min="14081" max="14081" width="10.85546875" customWidth="1"/>
    <col min="14082" max="14083" width="8" customWidth="1"/>
    <col min="14084" max="14086" width="20.28515625" customWidth="1"/>
    <col min="14087" max="14087" width="34.140625" customWidth="1"/>
    <col min="14088" max="14088" width="21.28515625" customWidth="1"/>
    <col min="14089" max="14089" width="22.7109375" customWidth="1"/>
    <col min="14090" max="14090" width="36.7109375" customWidth="1"/>
    <col min="14092" max="14092" width="5.7109375" customWidth="1"/>
    <col min="14093" max="14093" width="6.42578125" customWidth="1"/>
    <col min="14337" max="14337" width="10.85546875" customWidth="1"/>
    <col min="14338" max="14339" width="8" customWidth="1"/>
    <col min="14340" max="14342" width="20.28515625" customWidth="1"/>
    <col min="14343" max="14343" width="34.140625" customWidth="1"/>
    <col min="14344" max="14344" width="21.28515625" customWidth="1"/>
    <col min="14345" max="14345" width="22.7109375" customWidth="1"/>
    <col min="14346" max="14346" width="36.7109375" customWidth="1"/>
    <col min="14348" max="14348" width="5.7109375" customWidth="1"/>
    <col min="14349" max="14349" width="6.42578125" customWidth="1"/>
    <col min="14593" max="14593" width="10.85546875" customWidth="1"/>
    <col min="14594" max="14595" width="8" customWidth="1"/>
    <col min="14596" max="14598" width="20.28515625" customWidth="1"/>
    <col min="14599" max="14599" width="34.140625" customWidth="1"/>
    <col min="14600" max="14600" width="21.28515625" customWidth="1"/>
    <col min="14601" max="14601" width="22.7109375" customWidth="1"/>
    <col min="14602" max="14602" width="36.7109375" customWidth="1"/>
    <col min="14604" max="14604" width="5.7109375" customWidth="1"/>
    <col min="14605" max="14605" width="6.42578125" customWidth="1"/>
    <col min="14849" max="14849" width="10.85546875" customWidth="1"/>
    <col min="14850" max="14851" width="8" customWidth="1"/>
    <col min="14852" max="14854" width="20.28515625" customWidth="1"/>
    <col min="14855" max="14855" width="34.140625" customWidth="1"/>
    <col min="14856" max="14856" width="21.28515625" customWidth="1"/>
    <col min="14857" max="14857" width="22.7109375" customWidth="1"/>
    <col min="14858" max="14858" width="36.7109375" customWidth="1"/>
    <col min="14860" max="14860" width="5.7109375" customWidth="1"/>
    <col min="14861" max="14861" width="6.42578125" customWidth="1"/>
    <col min="15105" max="15105" width="10.85546875" customWidth="1"/>
    <col min="15106" max="15107" width="8" customWidth="1"/>
    <col min="15108" max="15110" width="20.28515625" customWidth="1"/>
    <col min="15111" max="15111" width="34.140625" customWidth="1"/>
    <col min="15112" max="15112" width="21.28515625" customWidth="1"/>
    <col min="15113" max="15113" width="22.7109375" customWidth="1"/>
    <col min="15114" max="15114" width="36.7109375" customWidth="1"/>
    <col min="15116" max="15116" width="5.7109375" customWidth="1"/>
    <col min="15117" max="15117" width="6.42578125" customWidth="1"/>
    <col min="15361" max="15361" width="10.85546875" customWidth="1"/>
    <col min="15362" max="15363" width="8" customWidth="1"/>
    <col min="15364" max="15366" width="20.28515625" customWidth="1"/>
    <col min="15367" max="15367" width="34.140625" customWidth="1"/>
    <col min="15368" max="15368" width="21.28515625" customWidth="1"/>
    <col min="15369" max="15369" width="22.7109375" customWidth="1"/>
    <col min="15370" max="15370" width="36.7109375" customWidth="1"/>
    <col min="15372" max="15372" width="5.7109375" customWidth="1"/>
    <col min="15373" max="15373" width="6.42578125" customWidth="1"/>
    <col min="15617" max="15617" width="10.85546875" customWidth="1"/>
    <col min="15618" max="15619" width="8" customWidth="1"/>
    <col min="15620" max="15622" width="20.28515625" customWidth="1"/>
    <col min="15623" max="15623" width="34.140625" customWidth="1"/>
    <col min="15624" max="15624" width="21.28515625" customWidth="1"/>
    <col min="15625" max="15625" width="22.7109375" customWidth="1"/>
    <col min="15626" max="15626" width="36.7109375" customWidth="1"/>
    <col min="15628" max="15628" width="5.7109375" customWidth="1"/>
    <col min="15629" max="15629" width="6.42578125" customWidth="1"/>
    <col min="15873" max="15873" width="10.85546875" customWidth="1"/>
    <col min="15874" max="15875" width="8" customWidth="1"/>
    <col min="15876" max="15878" width="20.28515625" customWidth="1"/>
    <col min="15879" max="15879" width="34.140625" customWidth="1"/>
    <col min="15880" max="15880" width="21.28515625" customWidth="1"/>
    <col min="15881" max="15881" width="22.7109375" customWidth="1"/>
    <col min="15882" max="15882" width="36.7109375" customWidth="1"/>
    <col min="15884" max="15884" width="5.7109375" customWidth="1"/>
    <col min="15885" max="15885" width="6.42578125" customWidth="1"/>
    <col min="16129" max="16129" width="10.85546875" customWidth="1"/>
    <col min="16130" max="16131" width="8" customWidth="1"/>
    <col min="16132" max="16134" width="20.28515625" customWidth="1"/>
    <col min="16135" max="16135" width="34.140625" customWidth="1"/>
    <col min="16136" max="16136" width="21.28515625" customWidth="1"/>
    <col min="16137" max="16137" width="22.7109375" customWidth="1"/>
    <col min="16138" max="16138" width="36.7109375" customWidth="1"/>
    <col min="16140" max="16140" width="5.7109375" customWidth="1"/>
    <col min="16141" max="16141" width="6.42578125" customWidth="1"/>
  </cols>
  <sheetData>
    <row r="1" spans="1:14" ht="25.5" customHeight="1" x14ac:dyDescent="0.25">
      <c r="A1" s="285" t="s">
        <v>0</v>
      </c>
      <c r="B1" s="285"/>
      <c r="C1" s="285"/>
      <c r="D1" s="285"/>
      <c r="E1" s="285"/>
      <c r="F1" s="285"/>
      <c r="G1" s="285"/>
      <c r="H1" s="285"/>
      <c r="I1" s="285"/>
      <c r="J1" s="285"/>
      <c r="K1" s="2"/>
      <c r="L1" s="3"/>
      <c r="M1" s="1"/>
    </row>
    <row r="2" spans="1:14" ht="15.75" x14ac:dyDescent="0.25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5"/>
      <c r="L2" s="6"/>
      <c r="M2" s="4"/>
    </row>
    <row r="3" spans="1:14" ht="12.75" customHeight="1" thickBot="1" x14ac:dyDescent="0.3">
      <c r="A3" s="5"/>
      <c r="B3" s="14"/>
      <c r="C3" s="14"/>
      <c r="D3" s="4"/>
      <c r="E3" s="4"/>
      <c r="F3" s="4"/>
      <c r="G3" s="4"/>
      <c r="H3" s="4"/>
      <c r="I3" s="4"/>
      <c r="J3" s="4"/>
      <c r="K3" s="5"/>
      <c r="L3" s="4"/>
      <c r="M3" s="4"/>
    </row>
    <row r="4" spans="1:14" ht="44.25" thickBot="1" x14ac:dyDescent="0.35">
      <c r="A4" s="16" t="s">
        <v>1</v>
      </c>
      <c r="B4" s="17" t="s">
        <v>2</v>
      </c>
      <c r="C4" s="17" t="s">
        <v>3</v>
      </c>
      <c r="D4" s="18" t="s">
        <v>4</v>
      </c>
      <c r="E4" s="18" t="s">
        <v>5</v>
      </c>
      <c r="F4" s="18" t="s">
        <v>6</v>
      </c>
      <c r="G4" s="17" t="s">
        <v>535</v>
      </c>
      <c r="H4" s="17" t="s">
        <v>7</v>
      </c>
      <c r="I4" s="17" t="s">
        <v>8</v>
      </c>
      <c r="J4" s="17" t="s">
        <v>9</v>
      </c>
      <c r="K4" s="19"/>
      <c r="L4" s="20"/>
      <c r="M4" s="21"/>
    </row>
    <row r="5" spans="1:14" ht="20.100000000000001" customHeight="1" thickTop="1" x14ac:dyDescent="0.3">
      <c r="A5" s="46" t="s">
        <v>43</v>
      </c>
      <c r="B5" s="47">
        <v>75</v>
      </c>
      <c r="C5" s="47">
        <v>1500</v>
      </c>
      <c r="D5" s="24" t="s">
        <v>44</v>
      </c>
      <c r="E5" s="48" t="s">
        <v>21</v>
      </c>
      <c r="F5" s="48" t="s">
        <v>45</v>
      </c>
      <c r="G5" s="32" t="s">
        <v>12</v>
      </c>
      <c r="H5" s="32" t="s">
        <v>26</v>
      </c>
      <c r="I5" s="53" t="s">
        <v>576</v>
      </c>
      <c r="J5" s="33" t="s">
        <v>46</v>
      </c>
      <c r="K5" s="19"/>
      <c r="L5" s="20" t="s">
        <v>47</v>
      </c>
      <c r="M5" s="21"/>
    </row>
    <row r="6" spans="1:14" ht="20.100000000000001" customHeight="1" x14ac:dyDescent="0.3">
      <c r="A6" s="46" t="str">
        <f t="shared" ref="A6:C7" si="0">A5</f>
        <v>EM.0009</v>
      </c>
      <c r="B6" s="47">
        <f t="shared" si="0"/>
        <v>75</v>
      </c>
      <c r="C6" s="47">
        <f t="shared" si="0"/>
        <v>1500</v>
      </c>
      <c r="D6" s="25" t="s">
        <v>48</v>
      </c>
      <c r="E6" s="25" t="s">
        <v>49</v>
      </c>
      <c r="F6" s="25" t="s">
        <v>50</v>
      </c>
      <c r="G6" s="26" t="s">
        <v>51</v>
      </c>
      <c r="H6" s="26" t="s">
        <v>52</v>
      </c>
      <c r="I6" s="53" t="s">
        <v>576</v>
      </c>
      <c r="J6" s="28"/>
      <c r="K6" s="19">
        <v>4</v>
      </c>
      <c r="L6" s="20" t="s">
        <v>53</v>
      </c>
      <c r="M6" s="21"/>
    </row>
    <row r="7" spans="1:14" ht="20.100000000000001" customHeight="1" x14ac:dyDescent="0.3">
      <c r="A7" s="46" t="str">
        <f t="shared" si="0"/>
        <v>EM.0009</v>
      </c>
      <c r="B7" s="47">
        <f t="shared" si="0"/>
        <v>75</v>
      </c>
      <c r="C7" s="47">
        <f t="shared" si="0"/>
        <v>1500</v>
      </c>
      <c r="D7" s="49"/>
      <c r="E7" s="49"/>
      <c r="F7" s="49"/>
      <c r="G7" s="50"/>
      <c r="H7" s="121" t="s">
        <v>54</v>
      </c>
      <c r="I7" s="53" t="s">
        <v>576</v>
      </c>
      <c r="J7" s="51"/>
      <c r="K7" s="19"/>
      <c r="L7" s="20"/>
      <c r="M7" s="21"/>
    </row>
    <row r="8" spans="1:14" ht="20.100000000000001" customHeight="1" x14ac:dyDescent="0.3">
      <c r="A8" s="46" t="str">
        <f t="shared" ref="A8:C9" si="1">A6</f>
        <v>EM.0009</v>
      </c>
      <c r="B8" s="47">
        <f t="shared" si="1"/>
        <v>75</v>
      </c>
      <c r="C8" s="47">
        <f t="shared" si="1"/>
        <v>1500</v>
      </c>
      <c r="D8" s="52" t="s">
        <v>55</v>
      </c>
      <c r="E8" s="52" t="s">
        <v>56</v>
      </c>
      <c r="F8" s="52" t="s">
        <v>57</v>
      </c>
      <c r="G8" s="53" t="s">
        <v>58</v>
      </c>
      <c r="H8" s="121"/>
      <c r="I8" s="53" t="s">
        <v>576</v>
      </c>
      <c r="J8" s="51"/>
      <c r="K8" s="19"/>
      <c r="L8" s="20"/>
      <c r="M8" s="21"/>
    </row>
    <row r="9" spans="1:14" ht="20.100000000000001" customHeight="1" x14ac:dyDescent="0.3">
      <c r="A9" s="46" t="str">
        <f t="shared" si="1"/>
        <v>EM.0009</v>
      </c>
      <c r="B9" s="47">
        <f t="shared" si="1"/>
        <v>75</v>
      </c>
      <c r="C9" s="47">
        <f t="shared" si="1"/>
        <v>1500</v>
      </c>
      <c r="D9" s="52">
        <v>45422</v>
      </c>
      <c r="E9" s="52">
        <v>45422</v>
      </c>
      <c r="F9" s="52">
        <v>45451</v>
      </c>
      <c r="G9" s="53" t="s">
        <v>58</v>
      </c>
      <c r="H9" s="53"/>
      <c r="I9" s="53" t="s">
        <v>576</v>
      </c>
      <c r="J9" s="54"/>
      <c r="K9" s="19"/>
      <c r="L9" s="20"/>
      <c r="M9" s="21"/>
    </row>
    <row r="10" spans="1:14" ht="20.100000000000001" customHeight="1" x14ac:dyDescent="0.3">
      <c r="A10" s="57" t="s">
        <v>67</v>
      </c>
      <c r="B10" s="30">
        <v>4</v>
      </c>
      <c r="C10" s="30">
        <v>1500</v>
      </c>
      <c r="D10" s="25" t="s">
        <v>68</v>
      </c>
      <c r="E10" s="25" t="s">
        <v>21</v>
      </c>
      <c r="F10" s="25" t="s">
        <v>45</v>
      </c>
      <c r="G10" s="26" t="s">
        <v>12</v>
      </c>
      <c r="H10" s="26" t="s">
        <v>69</v>
      </c>
      <c r="I10" s="26" t="s">
        <v>558</v>
      </c>
      <c r="J10" s="56" t="s">
        <v>70</v>
      </c>
      <c r="K10" s="19"/>
      <c r="L10" s="20" t="e">
        <f>PROPER(#REF!)</f>
        <v>#REF!</v>
      </c>
      <c r="M10" s="20" t="e">
        <f>PROPER(#REF!)</f>
        <v>#REF!</v>
      </c>
      <c r="N10" s="20" t="e">
        <f>PROPER(#REF!)</f>
        <v>#REF!</v>
      </c>
    </row>
    <row r="11" spans="1:14" ht="20.100000000000001" customHeight="1" x14ac:dyDescent="0.3">
      <c r="A11" s="58" t="str">
        <f>A10</f>
        <v>EM.0011</v>
      </c>
      <c r="B11" s="47">
        <f>B10</f>
        <v>4</v>
      </c>
      <c r="C11" s="47">
        <f>C10</f>
        <v>1500</v>
      </c>
      <c r="D11" s="52" t="s">
        <v>69</v>
      </c>
      <c r="E11" s="52" t="s">
        <v>71</v>
      </c>
      <c r="F11" s="52" t="s">
        <v>72</v>
      </c>
      <c r="G11" s="53" t="s">
        <v>16</v>
      </c>
      <c r="H11" s="59" t="s">
        <v>73</v>
      </c>
      <c r="I11" s="59" t="s">
        <v>558</v>
      </c>
      <c r="J11" s="60" t="s">
        <v>74</v>
      </c>
      <c r="K11" s="19">
        <v>3</v>
      </c>
      <c r="L11" s="20" t="e">
        <f>PROPER(#REF!)</f>
        <v>#REF!</v>
      </c>
      <c r="M11" s="20" t="e">
        <f>PROPER(#REF!)</f>
        <v>#REF!</v>
      </c>
      <c r="N11" s="20" t="e">
        <f>PROPER(#REF!)</f>
        <v>#REF!</v>
      </c>
    </row>
    <row r="12" spans="1:14" ht="20.100000000000001" customHeight="1" x14ac:dyDescent="0.3">
      <c r="A12" s="58" t="s">
        <v>67</v>
      </c>
      <c r="B12" s="47">
        <v>4</v>
      </c>
      <c r="C12" s="47">
        <v>1500</v>
      </c>
      <c r="D12" s="44" t="s">
        <v>75</v>
      </c>
      <c r="E12" s="44"/>
      <c r="F12" s="44"/>
      <c r="G12" s="45"/>
      <c r="H12" s="73"/>
      <c r="I12" s="73" t="s">
        <v>558</v>
      </c>
      <c r="J12" s="122" t="s">
        <v>76</v>
      </c>
      <c r="K12" s="19"/>
      <c r="L12" s="20"/>
      <c r="M12" s="20"/>
      <c r="N12" s="20"/>
    </row>
    <row r="13" spans="1:14" ht="20.100000000000001" customHeight="1" x14ac:dyDescent="0.3">
      <c r="A13" s="58" t="str">
        <f>A11</f>
        <v>EM.0011</v>
      </c>
      <c r="B13" s="23">
        <f>B11</f>
        <v>4</v>
      </c>
      <c r="C13" s="23">
        <f>C11</f>
        <v>1500</v>
      </c>
      <c r="D13" s="41">
        <v>45399</v>
      </c>
      <c r="E13" s="41">
        <v>45399</v>
      </c>
      <c r="F13" s="40">
        <v>45422</v>
      </c>
      <c r="G13" s="27"/>
      <c r="H13" s="27"/>
      <c r="I13" s="27" t="s">
        <v>558</v>
      </c>
      <c r="J13" s="42"/>
      <c r="K13" s="19">
        <v>7</v>
      </c>
      <c r="L13" s="20" t="e">
        <f>PROPER(#REF!)</f>
        <v>#REF!</v>
      </c>
      <c r="M13" s="20" t="e">
        <f>PROPER(#REF!)</f>
        <v>#REF!</v>
      </c>
      <c r="N13" s="20" t="e">
        <f>PROPER(#REF!)</f>
        <v>#REF!</v>
      </c>
    </row>
    <row r="14" spans="1:14" ht="20.100000000000001" customHeight="1" x14ac:dyDescent="0.3">
      <c r="A14" s="61" t="s">
        <v>77</v>
      </c>
      <c r="B14" s="30">
        <v>4</v>
      </c>
      <c r="C14" s="30">
        <v>1500</v>
      </c>
      <c r="D14" s="25" t="s">
        <v>78</v>
      </c>
      <c r="E14" s="25" t="s">
        <v>21</v>
      </c>
      <c r="F14" s="25" t="s">
        <v>45</v>
      </c>
      <c r="G14" s="26" t="s">
        <v>12</v>
      </c>
      <c r="H14" s="55" t="s">
        <v>22</v>
      </c>
      <c r="I14" s="26" t="s">
        <v>555</v>
      </c>
      <c r="J14" s="56" t="s">
        <v>79</v>
      </c>
      <c r="K14" s="19"/>
      <c r="L14" s="20" t="e">
        <f>PROPER(#REF!)</f>
        <v>#REF!</v>
      </c>
      <c r="M14" s="20" t="e">
        <f>PROPER(#REF!)</f>
        <v>#REF!</v>
      </c>
      <c r="N14" s="20" t="e">
        <f>PROPER(#REF!)</f>
        <v>#REF!</v>
      </c>
    </row>
    <row r="15" spans="1:14" ht="20.100000000000001" customHeight="1" x14ac:dyDescent="0.3">
      <c r="A15" s="46" t="str">
        <f t="shared" ref="A15:C16" si="2">A14</f>
        <v>EM.0012</v>
      </c>
      <c r="B15" s="47">
        <f t="shared" si="2"/>
        <v>4</v>
      </c>
      <c r="C15" s="47">
        <f t="shared" si="2"/>
        <v>1500</v>
      </c>
      <c r="D15" s="52" t="s">
        <v>80</v>
      </c>
      <c r="E15" s="52" t="s">
        <v>81</v>
      </c>
      <c r="F15" s="52" t="s">
        <v>82</v>
      </c>
      <c r="G15" s="53" t="s">
        <v>42</v>
      </c>
      <c r="H15" s="59"/>
      <c r="I15" s="26" t="s">
        <v>555</v>
      </c>
      <c r="J15" s="60"/>
      <c r="K15" s="19"/>
      <c r="L15" s="20" t="e">
        <f>PROPER(#REF!)</f>
        <v>#REF!</v>
      </c>
      <c r="M15" s="20" t="e">
        <f>PROPER(#REF!)</f>
        <v>#REF!</v>
      </c>
      <c r="N15" s="20" t="e">
        <f>PROPER(#REF!)</f>
        <v>#REF!</v>
      </c>
    </row>
    <row r="16" spans="1:14" ht="20.100000000000001" customHeight="1" x14ac:dyDescent="0.3">
      <c r="A16" s="46" t="str">
        <f t="shared" si="2"/>
        <v>EM.0012</v>
      </c>
      <c r="B16" s="47">
        <f t="shared" si="2"/>
        <v>4</v>
      </c>
      <c r="C16" s="47">
        <f t="shared" si="2"/>
        <v>1500</v>
      </c>
      <c r="D16" s="25" t="s">
        <v>83</v>
      </c>
      <c r="E16" s="25" t="s">
        <v>84</v>
      </c>
      <c r="F16" s="25" t="s">
        <v>85</v>
      </c>
      <c r="G16" s="26" t="s">
        <v>42</v>
      </c>
      <c r="H16" s="59"/>
      <c r="I16" s="26" t="s">
        <v>555</v>
      </c>
      <c r="J16" s="60"/>
      <c r="K16" s="19"/>
      <c r="L16" s="20" t="e">
        <f>PROPER(#REF!)</f>
        <v>#REF!</v>
      </c>
      <c r="M16" s="20" t="e">
        <f>PROPER(#REF!)</f>
        <v>#REF!</v>
      </c>
      <c r="N16" s="20" t="e">
        <f>PROPER(#REF!)</f>
        <v>#REF!</v>
      </c>
    </row>
    <row r="17" spans="1:14" ht="20.100000000000001" customHeight="1" x14ac:dyDescent="0.3">
      <c r="A17" s="46" t="s">
        <v>77</v>
      </c>
      <c r="B17" s="47">
        <v>4</v>
      </c>
      <c r="C17" s="47">
        <v>1500</v>
      </c>
      <c r="D17" s="25" t="s">
        <v>86</v>
      </c>
      <c r="E17" s="25" t="s">
        <v>87</v>
      </c>
      <c r="F17" s="25"/>
      <c r="G17" s="26" t="s">
        <v>58</v>
      </c>
      <c r="H17" s="59"/>
      <c r="I17" s="26" t="s">
        <v>555</v>
      </c>
      <c r="J17" s="60"/>
      <c r="K17" s="19"/>
      <c r="L17" s="20"/>
      <c r="M17" s="20"/>
      <c r="N17" s="20"/>
    </row>
    <row r="18" spans="1:14" ht="20.100000000000001" customHeight="1" x14ac:dyDescent="0.3">
      <c r="A18" s="46" t="str">
        <f>A16</f>
        <v>EM.0012</v>
      </c>
      <c r="B18" s="23">
        <f>B16</f>
        <v>4</v>
      </c>
      <c r="C18" s="23">
        <f>C16</f>
        <v>1500</v>
      </c>
      <c r="D18" s="25">
        <v>45399</v>
      </c>
      <c r="E18" s="25">
        <v>45399</v>
      </c>
      <c r="F18" s="25">
        <v>45422</v>
      </c>
      <c r="G18" s="26" t="s">
        <v>58</v>
      </c>
      <c r="H18" s="26"/>
      <c r="I18" s="26" t="s">
        <v>555</v>
      </c>
      <c r="J18" s="28"/>
      <c r="K18" s="19"/>
      <c r="L18" s="20" t="e">
        <f>PROPER(#REF!)</f>
        <v>#REF!</v>
      </c>
      <c r="M18" s="20" t="e">
        <f>PROPER(#REF!)</f>
        <v>#REF!</v>
      </c>
      <c r="N18" s="20" t="e">
        <f>PROPER(#REF!)</f>
        <v>#REF!</v>
      </c>
    </row>
    <row r="19" spans="1:14" ht="20.100000000000001" customHeight="1" x14ac:dyDescent="0.3">
      <c r="A19" s="61" t="s">
        <v>103</v>
      </c>
      <c r="B19" s="30">
        <v>55</v>
      </c>
      <c r="C19" s="30">
        <v>1500</v>
      </c>
      <c r="D19" s="25" t="s">
        <v>104</v>
      </c>
      <c r="E19" s="25" t="s">
        <v>98</v>
      </c>
      <c r="F19" s="25" t="s">
        <v>102</v>
      </c>
      <c r="G19" s="26" t="s">
        <v>16</v>
      </c>
      <c r="H19" s="62" t="s">
        <v>105</v>
      </c>
      <c r="I19" s="62" t="s">
        <v>564</v>
      </c>
      <c r="J19" s="56" t="s">
        <v>106</v>
      </c>
      <c r="K19" s="19"/>
      <c r="L19" s="20" t="str">
        <f>PROPER(D9)</f>
        <v>45422</v>
      </c>
      <c r="M19" s="20" t="str">
        <f>PROPER(E9)</f>
        <v>45422</v>
      </c>
      <c r="N19" s="20" t="str">
        <f>PROPER(F9)</f>
        <v>45451</v>
      </c>
    </row>
    <row r="20" spans="1:14" ht="20.100000000000001" customHeight="1" x14ac:dyDescent="0.3">
      <c r="A20" s="46" t="str">
        <f t="shared" ref="A20:C21" si="3">A19</f>
        <v>EM.0019</v>
      </c>
      <c r="B20" s="47">
        <f t="shared" si="3"/>
        <v>55</v>
      </c>
      <c r="C20" s="47">
        <f t="shared" si="3"/>
        <v>1500</v>
      </c>
      <c r="D20" s="52" t="s">
        <v>107</v>
      </c>
      <c r="E20" s="52" t="s">
        <v>108</v>
      </c>
      <c r="F20" s="52" t="s">
        <v>109</v>
      </c>
      <c r="G20" s="53" t="s">
        <v>16</v>
      </c>
      <c r="H20" s="63"/>
      <c r="I20" s="62" t="s">
        <v>564</v>
      </c>
      <c r="J20" s="64"/>
      <c r="K20" s="19"/>
      <c r="L20" s="20" t="e">
        <f>PROPER(#REF!)</f>
        <v>#REF!</v>
      </c>
      <c r="M20" s="20" t="e">
        <f>PROPER(#REF!)</f>
        <v>#REF!</v>
      </c>
      <c r="N20" s="20" t="e">
        <f>PROPER(#REF!)</f>
        <v>#REF!</v>
      </c>
    </row>
    <row r="21" spans="1:14" ht="20.100000000000001" customHeight="1" x14ac:dyDescent="0.3">
      <c r="A21" s="46" t="str">
        <f t="shared" si="3"/>
        <v>EM.0019</v>
      </c>
      <c r="B21" s="47">
        <f t="shared" si="3"/>
        <v>55</v>
      </c>
      <c r="C21" s="47">
        <f t="shared" si="3"/>
        <v>1500</v>
      </c>
      <c r="D21" s="25" t="s">
        <v>110</v>
      </c>
      <c r="E21" s="25" t="s">
        <v>111</v>
      </c>
      <c r="F21" s="25" t="s">
        <v>112</v>
      </c>
      <c r="G21" s="26" t="s">
        <v>16</v>
      </c>
      <c r="H21" s="65"/>
      <c r="I21" s="62" t="s">
        <v>564</v>
      </c>
      <c r="J21" s="66"/>
      <c r="K21" s="19">
        <v>5</v>
      </c>
      <c r="L21" s="20" t="e">
        <f>PROPER(#REF!)</f>
        <v>#REF!</v>
      </c>
      <c r="M21" s="20" t="e">
        <f>PROPER(#REF!)</f>
        <v>#REF!</v>
      </c>
      <c r="N21" s="20" t="e">
        <f>PROPER(#REF!)</f>
        <v>#REF!</v>
      </c>
    </row>
    <row r="22" spans="1:14" ht="20.100000000000001" customHeight="1" x14ac:dyDescent="0.3">
      <c r="A22" s="46" t="str">
        <f t="shared" ref="A22:C23" si="4">A20</f>
        <v>EM.0019</v>
      </c>
      <c r="B22" s="23">
        <f t="shared" si="4"/>
        <v>55</v>
      </c>
      <c r="C22" s="23">
        <f t="shared" si="4"/>
        <v>1500</v>
      </c>
      <c r="D22" s="25"/>
      <c r="E22" s="25"/>
      <c r="F22" s="25" t="s">
        <v>113</v>
      </c>
      <c r="G22" s="26"/>
      <c r="H22" s="65"/>
      <c r="I22" s="62" t="s">
        <v>564</v>
      </c>
      <c r="J22" s="66"/>
      <c r="K22" s="19"/>
      <c r="L22" s="20"/>
      <c r="M22" s="20"/>
      <c r="N22" s="20"/>
    </row>
    <row r="23" spans="1:14" ht="20.100000000000001" customHeight="1" x14ac:dyDescent="0.3">
      <c r="A23" s="46" t="str">
        <f t="shared" si="4"/>
        <v>EM.0019</v>
      </c>
      <c r="B23" s="23">
        <f t="shared" si="4"/>
        <v>55</v>
      </c>
      <c r="C23" s="23">
        <f t="shared" si="4"/>
        <v>1500</v>
      </c>
      <c r="D23" s="25">
        <v>45399</v>
      </c>
      <c r="E23" s="25">
        <v>45399</v>
      </c>
      <c r="F23" s="25">
        <v>45422</v>
      </c>
      <c r="G23" s="26" t="s">
        <v>58</v>
      </c>
      <c r="H23" s="65"/>
      <c r="I23" s="62" t="s">
        <v>564</v>
      </c>
      <c r="J23" s="66"/>
      <c r="K23" s="19"/>
      <c r="L23" s="20" t="str">
        <f t="shared" ref="L23:N24" si="5">PROPER(D10)</f>
        <v>07 September 2021</v>
      </c>
      <c r="M23" s="20" t="str">
        <f t="shared" si="5"/>
        <v>14 Oktober 2021</v>
      </c>
      <c r="N23" s="20" t="str">
        <f t="shared" si="5"/>
        <v>06 November 2021</v>
      </c>
    </row>
    <row r="24" spans="1:14" ht="20.100000000000001" customHeight="1" x14ac:dyDescent="0.3">
      <c r="A24" s="61" t="s">
        <v>114</v>
      </c>
      <c r="B24" s="30" t="s">
        <v>115</v>
      </c>
      <c r="C24" s="30">
        <v>1500</v>
      </c>
      <c r="D24" s="25" t="s">
        <v>116</v>
      </c>
      <c r="E24" s="25" t="s">
        <v>37</v>
      </c>
      <c r="F24" s="31" t="s">
        <v>38</v>
      </c>
      <c r="G24" s="26" t="s">
        <v>12</v>
      </c>
      <c r="H24" s="62" t="s">
        <v>117</v>
      </c>
      <c r="I24" s="62" t="s">
        <v>577</v>
      </c>
      <c r="J24" s="67" t="s">
        <v>118</v>
      </c>
      <c r="K24" s="19"/>
      <c r="L24" s="20" t="str">
        <f t="shared" si="5"/>
        <v>27 Maret 2022</v>
      </c>
      <c r="M24" s="20" t="str">
        <f t="shared" si="5"/>
        <v>9 April 2022</v>
      </c>
      <c r="N24" s="20" t="str">
        <f t="shared" si="5"/>
        <v>19 April 2022</v>
      </c>
    </row>
    <row r="25" spans="1:14" ht="20.100000000000001" customHeight="1" x14ac:dyDescent="0.3">
      <c r="A25" s="46" t="str">
        <f t="shared" ref="A25:C27" si="6">A24</f>
        <v>EM.0020</v>
      </c>
      <c r="B25" s="47" t="str">
        <f t="shared" si="6"/>
        <v>2.2</v>
      </c>
      <c r="C25" s="47">
        <f t="shared" si="6"/>
        <v>1500</v>
      </c>
      <c r="D25" s="52" t="s">
        <v>119</v>
      </c>
      <c r="E25" s="52" t="s">
        <v>71</v>
      </c>
      <c r="F25" s="52" t="s">
        <v>72</v>
      </c>
      <c r="G25" s="53" t="s">
        <v>16</v>
      </c>
      <c r="H25" s="68" t="s">
        <v>73</v>
      </c>
      <c r="I25" s="68" t="s">
        <v>577</v>
      </c>
      <c r="J25" s="69" t="s">
        <v>74</v>
      </c>
      <c r="K25" s="19">
        <v>4</v>
      </c>
      <c r="L25" s="20" t="str">
        <f t="shared" ref="L25:N27" si="7">PROPER(D13)</f>
        <v>45399</v>
      </c>
      <c r="M25" s="20" t="str">
        <f t="shared" si="7"/>
        <v>45399</v>
      </c>
      <c r="N25" s="20" t="str">
        <f t="shared" si="7"/>
        <v>45422</v>
      </c>
    </row>
    <row r="26" spans="1:14" ht="20.100000000000001" customHeight="1" x14ac:dyDescent="0.3">
      <c r="A26" s="46" t="str">
        <f t="shared" si="6"/>
        <v>EM.0020</v>
      </c>
      <c r="B26" s="47" t="str">
        <f t="shared" si="6"/>
        <v>2.2</v>
      </c>
      <c r="C26" s="47">
        <f t="shared" si="6"/>
        <v>1500</v>
      </c>
      <c r="D26" s="52" t="s">
        <v>120</v>
      </c>
      <c r="E26" s="52" t="s">
        <v>121</v>
      </c>
      <c r="F26" s="52" t="s">
        <v>122</v>
      </c>
      <c r="G26" s="53" t="s">
        <v>42</v>
      </c>
      <c r="H26" s="68"/>
      <c r="I26" s="68" t="s">
        <v>577</v>
      </c>
      <c r="J26" s="69"/>
      <c r="K26" s="19"/>
      <c r="L26" s="20" t="str">
        <f t="shared" si="7"/>
        <v>23 September 2021</v>
      </c>
      <c r="M26" s="20" t="str">
        <f t="shared" si="7"/>
        <v>14 Oktober 2021</v>
      </c>
      <c r="N26" s="20" t="str">
        <f t="shared" si="7"/>
        <v>06 November 2021</v>
      </c>
    </row>
    <row r="27" spans="1:14" ht="20.100000000000001" customHeight="1" x14ac:dyDescent="0.3">
      <c r="A27" s="46" t="str">
        <f t="shared" si="6"/>
        <v>EM.0020</v>
      </c>
      <c r="B27" s="23" t="str">
        <f t="shared" si="6"/>
        <v>2.2</v>
      </c>
      <c r="C27" s="23">
        <f t="shared" si="6"/>
        <v>1500</v>
      </c>
      <c r="D27" s="41" t="s">
        <v>123</v>
      </c>
      <c r="E27" s="41" t="s">
        <v>124</v>
      </c>
      <c r="F27" s="70" t="s">
        <v>125</v>
      </c>
      <c r="G27" s="27" t="s">
        <v>42</v>
      </c>
      <c r="H27" s="71"/>
      <c r="I27" s="71" t="s">
        <v>577</v>
      </c>
      <c r="J27" s="72" t="s">
        <v>126</v>
      </c>
      <c r="K27" s="19">
        <v>7</v>
      </c>
      <c r="L27" s="20" t="str">
        <f t="shared" si="7"/>
        <v>23 Desember 2021</v>
      </c>
      <c r="M27" s="20" t="str">
        <f t="shared" si="7"/>
        <v>22 Januari 2022</v>
      </c>
      <c r="N27" s="20" t="str">
        <f t="shared" si="7"/>
        <v>14 Februari 2022</v>
      </c>
    </row>
    <row r="28" spans="1:14" ht="20.100000000000001" customHeight="1" x14ac:dyDescent="0.3">
      <c r="A28" s="46" t="s">
        <v>132</v>
      </c>
      <c r="B28" s="47">
        <v>4</v>
      </c>
      <c r="C28" s="47">
        <v>1500</v>
      </c>
      <c r="D28" s="48" t="s">
        <v>133</v>
      </c>
      <c r="E28" s="48" t="s">
        <v>98</v>
      </c>
      <c r="F28" s="24" t="s">
        <v>99</v>
      </c>
      <c r="G28" s="32" t="s">
        <v>16</v>
      </c>
      <c r="H28" s="32" t="s">
        <v>134</v>
      </c>
      <c r="I28" s="50"/>
      <c r="J28" s="64" t="s">
        <v>135</v>
      </c>
      <c r="K28" s="19"/>
      <c r="L28" s="20" t="e">
        <f>PROPER(#REF!)</f>
        <v>#REF!</v>
      </c>
      <c r="M28" s="20" t="e">
        <f>PROPER(#REF!)</f>
        <v>#REF!</v>
      </c>
      <c r="N28" s="20" t="e">
        <f>PROPER(#REF!)</f>
        <v>#REF!</v>
      </c>
    </row>
    <row r="29" spans="1:14" ht="20.100000000000001" customHeight="1" x14ac:dyDescent="0.3">
      <c r="A29" s="46" t="str">
        <f t="shared" ref="A29:C31" si="8">A28</f>
        <v>EM.0022</v>
      </c>
      <c r="B29" s="47">
        <f t="shared" si="8"/>
        <v>4</v>
      </c>
      <c r="C29" s="47">
        <f t="shared" si="8"/>
        <v>1500</v>
      </c>
      <c r="D29" s="31" t="s">
        <v>69</v>
      </c>
      <c r="E29" s="25" t="s">
        <v>71</v>
      </c>
      <c r="F29" s="25" t="s">
        <v>72</v>
      </c>
      <c r="G29" s="26" t="s">
        <v>16</v>
      </c>
      <c r="H29" s="62" t="s">
        <v>136</v>
      </c>
      <c r="I29" s="62"/>
      <c r="J29" s="56" t="s">
        <v>137</v>
      </c>
      <c r="K29" s="19">
        <v>3</v>
      </c>
      <c r="L29" s="20" t="e">
        <f>PROPER(#REF!)</f>
        <v>#REF!</v>
      </c>
      <c r="M29" s="20" t="e">
        <f>PROPER(#REF!)</f>
        <v>#REF!</v>
      </c>
      <c r="N29" s="20" t="e">
        <f>PROPER(#REF!)</f>
        <v>#REF!</v>
      </c>
    </row>
    <row r="30" spans="1:14" ht="20.100000000000001" customHeight="1" x14ac:dyDescent="0.3">
      <c r="A30" s="46" t="str">
        <f t="shared" si="8"/>
        <v>EM.0022</v>
      </c>
      <c r="B30" s="47">
        <f t="shared" si="8"/>
        <v>4</v>
      </c>
      <c r="C30" s="47">
        <f t="shared" si="8"/>
        <v>1500</v>
      </c>
      <c r="D30" s="75" t="s">
        <v>138</v>
      </c>
      <c r="E30" s="75" t="s">
        <v>139</v>
      </c>
      <c r="F30" s="52" t="s">
        <v>108</v>
      </c>
      <c r="G30" s="53" t="s">
        <v>16</v>
      </c>
      <c r="H30" s="53" t="s">
        <v>140</v>
      </c>
      <c r="I30" s="53"/>
      <c r="J30" s="54"/>
      <c r="K30" s="19">
        <v>5</v>
      </c>
      <c r="L30" s="20" t="e">
        <f>PROPER(#REF!)</f>
        <v>#REF!</v>
      </c>
      <c r="M30" s="20" t="e">
        <f>PROPER(#REF!)</f>
        <v>#REF!</v>
      </c>
      <c r="N30" s="20" t="e">
        <f>PROPER(#REF!)</f>
        <v>#REF!</v>
      </c>
    </row>
    <row r="31" spans="1:14" ht="20.100000000000001" customHeight="1" x14ac:dyDescent="0.3">
      <c r="A31" s="46" t="str">
        <f t="shared" si="8"/>
        <v>EM.0022</v>
      </c>
      <c r="B31" s="47">
        <f t="shared" si="8"/>
        <v>4</v>
      </c>
      <c r="C31" s="47">
        <f t="shared" si="8"/>
        <v>1500</v>
      </c>
      <c r="D31" s="75" t="s">
        <v>141</v>
      </c>
      <c r="E31" s="75"/>
      <c r="F31" s="52" t="s">
        <v>142</v>
      </c>
      <c r="G31" s="53" t="s">
        <v>16</v>
      </c>
      <c r="H31" s="53"/>
      <c r="I31" s="53"/>
      <c r="J31" s="54"/>
      <c r="K31" s="19"/>
      <c r="L31" s="20" t="e">
        <f>PROPER(#REF!)</f>
        <v>#REF!</v>
      </c>
      <c r="M31" s="20" t="e">
        <f>PROPER(#REF!)</f>
        <v>#REF!</v>
      </c>
      <c r="N31" s="20" t="e">
        <f>PROPER(#REF!)</f>
        <v>#REF!</v>
      </c>
    </row>
    <row r="32" spans="1:14" ht="20.100000000000001" customHeight="1" x14ac:dyDescent="0.3">
      <c r="A32" s="58" t="s">
        <v>151</v>
      </c>
      <c r="B32" s="47">
        <v>55</v>
      </c>
      <c r="C32" s="47">
        <v>1500</v>
      </c>
      <c r="D32" s="37" t="s">
        <v>22</v>
      </c>
      <c r="E32" s="37" t="s">
        <v>98</v>
      </c>
      <c r="F32" s="36" t="s">
        <v>129</v>
      </c>
      <c r="G32" s="38" t="s">
        <v>58</v>
      </c>
      <c r="H32" s="74" t="s">
        <v>107</v>
      </c>
      <c r="I32" s="74"/>
      <c r="J32" s="39"/>
      <c r="K32" s="19"/>
      <c r="L32" s="20" t="str">
        <f t="shared" ref="L32:N33" si="9">PROPER(D20)</f>
        <v>30 Mei 2022</v>
      </c>
      <c r="M32" s="20" t="str">
        <f t="shared" si="9"/>
        <v>03 Juni 2022</v>
      </c>
      <c r="N32" s="20" t="str">
        <f t="shared" si="9"/>
        <v>17 Juni 2022</v>
      </c>
    </row>
    <row r="33" spans="1:14" ht="20.100000000000001" customHeight="1" x14ac:dyDescent="0.3">
      <c r="A33" s="58" t="str">
        <f t="shared" ref="A33:C34" si="10">A32</f>
        <v>EM.0025</v>
      </c>
      <c r="B33" s="47">
        <f t="shared" si="10"/>
        <v>55</v>
      </c>
      <c r="C33" s="47">
        <f t="shared" si="10"/>
        <v>1500</v>
      </c>
      <c r="D33" s="37" t="s">
        <v>152</v>
      </c>
      <c r="E33" s="37" t="s">
        <v>153</v>
      </c>
      <c r="F33" s="37" t="s">
        <v>154</v>
      </c>
      <c r="G33" s="45" t="s">
        <v>16</v>
      </c>
      <c r="H33" s="74"/>
      <c r="I33" s="74"/>
      <c r="J33" s="39"/>
      <c r="K33" s="19"/>
      <c r="L33" s="20" t="str">
        <f t="shared" si="9"/>
        <v>07 Januari 2023</v>
      </c>
      <c r="M33" s="20" t="str">
        <f t="shared" si="9"/>
        <v>11 Januari 2023</v>
      </c>
      <c r="N33" s="20" t="str">
        <f t="shared" si="9"/>
        <v>18 Januari 2023</v>
      </c>
    </row>
    <row r="34" spans="1:14" ht="20.100000000000001" customHeight="1" x14ac:dyDescent="0.3">
      <c r="A34" s="58" t="str">
        <f t="shared" si="10"/>
        <v>EM.0025</v>
      </c>
      <c r="B34" s="23">
        <f t="shared" si="10"/>
        <v>55</v>
      </c>
      <c r="C34" s="23">
        <f t="shared" si="10"/>
        <v>1500</v>
      </c>
      <c r="D34" s="37" t="s">
        <v>155</v>
      </c>
      <c r="E34" s="37" t="s">
        <v>156</v>
      </c>
      <c r="F34" s="41"/>
      <c r="G34" s="27" t="s">
        <v>42</v>
      </c>
      <c r="H34" s="43"/>
      <c r="I34" s="43"/>
      <c r="J34" s="42"/>
      <c r="K34" s="19"/>
      <c r="L34" s="20" t="str">
        <f>PROPER(D23)</f>
        <v>45399</v>
      </c>
      <c r="M34" s="20" t="str">
        <f>PROPER(E23)</f>
        <v>45399</v>
      </c>
      <c r="N34" s="20" t="str">
        <f>PROPER(F23)</f>
        <v>45422</v>
      </c>
    </row>
    <row r="35" spans="1:14" ht="20.100000000000001" customHeight="1" x14ac:dyDescent="0.3">
      <c r="A35" s="57" t="s">
        <v>162</v>
      </c>
      <c r="B35" s="30" t="s">
        <v>115</v>
      </c>
      <c r="C35" s="30">
        <v>1500</v>
      </c>
      <c r="D35" s="25" t="s">
        <v>22</v>
      </c>
      <c r="E35" s="31" t="s">
        <v>38</v>
      </c>
      <c r="F35" s="31" t="s">
        <v>159</v>
      </c>
      <c r="G35" s="26" t="s">
        <v>16</v>
      </c>
      <c r="H35" s="78" t="s">
        <v>163</v>
      </c>
      <c r="I35" s="78"/>
      <c r="J35" s="56" t="s">
        <v>164</v>
      </c>
      <c r="K35" s="19"/>
      <c r="L35" s="20" t="str">
        <f t="shared" ref="L35:N36" si="11">PROPER(D26)</f>
        <v>02 Juli 2022</v>
      </c>
      <c r="M35" s="20" t="str">
        <f t="shared" si="11"/>
        <v>25 Juli 2022</v>
      </c>
      <c r="N35" s="20" t="str">
        <f t="shared" si="11"/>
        <v>06 Agustus 2022</v>
      </c>
    </row>
    <row r="36" spans="1:14" ht="20.100000000000001" customHeight="1" x14ac:dyDescent="0.3">
      <c r="A36" s="58" t="str">
        <f t="shared" ref="A36:C37" si="12">A35</f>
        <v>EM.0028</v>
      </c>
      <c r="B36" s="47" t="str">
        <f t="shared" si="12"/>
        <v>2.2</v>
      </c>
      <c r="C36" s="47">
        <f t="shared" si="12"/>
        <v>1500</v>
      </c>
      <c r="D36" s="41" t="s">
        <v>165</v>
      </c>
      <c r="E36" s="40" t="s">
        <v>140</v>
      </c>
      <c r="F36" s="40"/>
      <c r="G36" s="27" t="s">
        <v>42</v>
      </c>
      <c r="H36" s="43" t="s">
        <v>166</v>
      </c>
      <c r="I36" s="43"/>
      <c r="J36" s="109"/>
      <c r="K36" s="19"/>
      <c r="L36" s="20" t="str">
        <f t="shared" si="11"/>
        <v>24 Juli 2023</v>
      </c>
      <c r="M36" s="20" t="str">
        <f t="shared" si="11"/>
        <v>26 Juli 2023</v>
      </c>
      <c r="N36" s="20" t="str">
        <f t="shared" si="11"/>
        <v>01 Agustus 2023</v>
      </c>
    </row>
    <row r="37" spans="1:14" ht="20.100000000000001" customHeight="1" x14ac:dyDescent="0.3">
      <c r="A37" s="58" t="str">
        <f t="shared" si="12"/>
        <v>EM.0028</v>
      </c>
      <c r="B37" s="23" t="str">
        <f t="shared" si="12"/>
        <v>2.2</v>
      </c>
      <c r="C37" s="23">
        <f t="shared" si="12"/>
        <v>1500</v>
      </c>
      <c r="D37" s="41" t="s">
        <v>167</v>
      </c>
      <c r="E37" s="40" t="s">
        <v>167</v>
      </c>
      <c r="F37" s="40"/>
      <c r="G37" s="27" t="s">
        <v>42</v>
      </c>
      <c r="H37" s="43"/>
      <c r="I37" s="43"/>
      <c r="J37" s="109"/>
      <c r="K37" s="19">
        <v>8</v>
      </c>
      <c r="L37" s="20" t="e">
        <f>PROPER(#REF!)</f>
        <v>#REF!</v>
      </c>
      <c r="M37" s="20" t="e">
        <f>PROPER(#REF!)</f>
        <v>#REF!</v>
      </c>
      <c r="N37" s="20" t="e">
        <f>PROPER(#REF!)</f>
        <v>#REF!</v>
      </c>
    </row>
    <row r="38" spans="1:14" ht="20.100000000000001" customHeight="1" x14ac:dyDescent="0.3">
      <c r="A38" s="61" t="s">
        <v>174</v>
      </c>
      <c r="B38" s="30">
        <v>4</v>
      </c>
      <c r="C38" s="30">
        <v>1500</v>
      </c>
      <c r="D38" s="75" t="s">
        <v>175</v>
      </c>
      <c r="E38" s="75" t="s">
        <v>38</v>
      </c>
      <c r="F38" s="75" t="s">
        <v>159</v>
      </c>
      <c r="G38" s="53" t="s">
        <v>16</v>
      </c>
      <c r="H38" s="79" t="s">
        <v>176</v>
      </c>
      <c r="I38" s="59" t="s">
        <v>177</v>
      </c>
      <c r="J38" s="80"/>
      <c r="K38" s="19"/>
      <c r="L38" s="20" t="str">
        <f t="shared" ref="L38:N40" si="13">PROPER(D29)</f>
        <v>27 Maret 2022</v>
      </c>
      <c r="M38" s="20" t="str">
        <f t="shared" si="13"/>
        <v>9 April 2022</v>
      </c>
      <c r="N38" s="20" t="str">
        <f t="shared" si="13"/>
        <v>19 April 2022</v>
      </c>
    </row>
    <row r="39" spans="1:14" ht="20.100000000000001" customHeight="1" x14ac:dyDescent="0.3">
      <c r="A39" s="46" t="str">
        <f t="shared" ref="A39:C42" si="14">A38</f>
        <v>EM.0030</v>
      </c>
      <c r="B39" s="47">
        <f t="shared" si="14"/>
        <v>4</v>
      </c>
      <c r="C39" s="47">
        <f t="shared" si="14"/>
        <v>1500</v>
      </c>
      <c r="D39" s="52" t="s">
        <v>136</v>
      </c>
      <c r="E39" s="75" t="s">
        <v>49</v>
      </c>
      <c r="F39" s="75" t="s">
        <v>178</v>
      </c>
      <c r="G39" s="53" t="s">
        <v>12</v>
      </c>
      <c r="H39" s="78" t="s">
        <v>179</v>
      </c>
      <c r="I39" s="59" t="s">
        <v>177</v>
      </c>
      <c r="J39" s="80"/>
      <c r="K39" s="19">
        <v>4</v>
      </c>
      <c r="L39" s="20" t="str">
        <f t="shared" si="13"/>
        <v>15 Mei 2022</v>
      </c>
      <c r="M39" s="20" t="str">
        <f t="shared" si="13"/>
        <v>25 Mei 2022</v>
      </c>
      <c r="N39" s="20" t="str">
        <f t="shared" si="13"/>
        <v>03 Juni 2022</v>
      </c>
    </row>
    <row r="40" spans="1:14" ht="20.100000000000001" customHeight="1" x14ac:dyDescent="0.3">
      <c r="A40" s="46" t="str">
        <f t="shared" si="14"/>
        <v>EM.0030</v>
      </c>
      <c r="B40" s="47">
        <f t="shared" si="14"/>
        <v>4</v>
      </c>
      <c r="C40" s="47">
        <f t="shared" si="14"/>
        <v>1500</v>
      </c>
      <c r="D40" s="52" t="s">
        <v>180</v>
      </c>
      <c r="E40" s="52" t="s">
        <v>181</v>
      </c>
      <c r="F40" s="75"/>
      <c r="G40" s="53" t="s">
        <v>42</v>
      </c>
      <c r="H40" s="79"/>
      <c r="I40" s="59" t="s">
        <v>177</v>
      </c>
      <c r="J40" s="81"/>
      <c r="K40" s="19"/>
      <c r="L40" s="20" t="str">
        <f t="shared" si="13"/>
        <v>16 Januari 2023</v>
      </c>
      <c r="M40" s="20" t="str">
        <f t="shared" si="13"/>
        <v/>
      </c>
      <c r="N40" s="20" t="str">
        <f t="shared" si="13"/>
        <v>07 Februari 2023</v>
      </c>
    </row>
    <row r="41" spans="1:14" ht="20.100000000000001" customHeight="1" x14ac:dyDescent="0.3">
      <c r="A41" s="46" t="str">
        <f t="shared" si="14"/>
        <v>EM.0030</v>
      </c>
      <c r="B41" s="47">
        <f t="shared" si="14"/>
        <v>4</v>
      </c>
      <c r="C41" s="47">
        <f t="shared" si="14"/>
        <v>1500</v>
      </c>
      <c r="D41" s="52" t="s">
        <v>83</v>
      </c>
      <c r="E41" s="52" t="s">
        <v>84</v>
      </c>
      <c r="F41" s="75" t="s">
        <v>85</v>
      </c>
      <c r="G41" s="53" t="s">
        <v>42</v>
      </c>
      <c r="H41" s="79"/>
      <c r="I41" s="59" t="s">
        <v>177</v>
      </c>
      <c r="J41" s="82"/>
      <c r="K41" s="19"/>
      <c r="L41" s="20" t="e">
        <f>PROPER(#REF!)</f>
        <v>#REF!</v>
      </c>
      <c r="M41" s="20" t="e">
        <f>PROPER(#REF!)</f>
        <v>#REF!</v>
      </c>
      <c r="N41" s="20" t="e">
        <f>PROPER(#REF!)</f>
        <v>#REF!</v>
      </c>
    </row>
    <row r="42" spans="1:14" ht="20.100000000000001" customHeight="1" x14ac:dyDescent="0.3">
      <c r="A42" s="46" t="str">
        <f t="shared" si="14"/>
        <v>EM.0030</v>
      </c>
      <c r="B42" s="47">
        <f t="shared" si="14"/>
        <v>4</v>
      </c>
      <c r="C42" s="47">
        <f t="shared" si="14"/>
        <v>1500</v>
      </c>
      <c r="D42" s="25" t="s">
        <v>182</v>
      </c>
      <c r="E42" s="25" t="s">
        <v>182</v>
      </c>
      <c r="F42" s="31" t="s">
        <v>183</v>
      </c>
      <c r="G42" s="26" t="s">
        <v>42</v>
      </c>
      <c r="H42" s="78"/>
      <c r="I42" s="59" t="s">
        <v>177</v>
      </c>
      <c r="J42" s="81"/>
      <c r="K42" s="19"/>
      <c r="L42" s="20" t="e">
        <f>PROPER(#REF!)</f>
        <v>#REF!</v>
      </c>
      <c r="M42" s="20" t="e">
        <f>PROPER(#REF!)</f>
        <v>#REF!</v>
      </c>
      <c r="N42" s="20" t="e">
        <f>PROPER(#REF!)</f>
        <v>#REF!</v>
      </c>
    </row>
    <row r="43" spans="1:14" ht="20.100000000000001" customHeight="1" x14ac:dyDescent="0.3">
      <c r="A43" s="46" t="s">
        <v>174</v>
      </c>
      <c r="B43" s="47">
        <v>4</v>
      </c>
      <c r="C43" s="47">
        <v>1500</v>
      </c>
      <c r="D43" s="25">
        <v>45296</v>
      </c>
      <c r="E43" s="25">
        <v>45306</v>
      </c>
      <c r="F43" s="31">
        <v>45321</v>
      </c>
      <c r="G43" s="26" t="s">
        <v>58</v>
      </c>
      <c r="H43" s="78"/>
      <c r="I43" s="59" t="s">
        <v>177</v>
      </c>
      <c r="J43" s="81"/>
      <c r="K43" s="19"/>
      <c r="L43" s="20"/>
      <c r="M43" s="20"/>
      <c r="N43" s="20"/>
    </row>
    <row r="44" spans="1:14" ht="20.100000000000001" customHeight="1" x14ac:dyDescent="0.3">
      <c r="A44" s="83" t="str">
        <f>A42</f>
        <v>EM.0030</v>
      </c>
      <c r="B44" s="23">
        <f>B42</f>
        <v>4</v>
      </c>
      <c r="C44" s="23">
        <f>C42</f>
        <v>1500</v>
      </c>
      <c r="D44" s="25">
        <v>45399</v>
      </c>
      <c r="E44" s="25">
        <v>45399</v>
      </c>
      <c r="F44" s="31">
        <v>45422</v>
      </c>
      <c r="G44" s="26" t="s">
        <v>58</v>
      </c>
      <c r="H44" s="78"/>
      <c r="I44" s="59" t="s">
        <v>177</v>
      </c>
      <c r="J44" s="81"/>
      <c r="K44" s="19"/>
      <c r="L44" s="20" t="e">
        <f>PROPER(#REF!)</f>
        <v>#REF!</v>
      </c>
      <c r="M44" s="20" t="e">
        <f>PROPER(#REF!)</f>
        <v>#REF!</v>
      </c>
      <c r="N44" s="20" t="e">
        <f>PROPER(#REF!)</f>
        <v>#REF!</v>
      </c>
    </row>
    <row r="45" spans="1:14" ht="20.100000000000001" customHeight="1" x14ac:dyDescent="0.3">
      <c r="A45" s="61" t="s">
        <v>184</v>
      </c>
      <c r="B45" s="30" t="s">
        <v>185</v>
      </c>
      <c r="C45" s="30">
        <v>1500</v>
      </c>
      <c r="D45" s="31" t="s">
        <v>186</v>
      </c>
      <c r="E45" s="25" t="s">
        <v>81</v>
      </c>
      <c r="F45" s="31" t="s">
        <v>82</v>
      </c>
      <c r="G45" s="26" t="s">
        <v>42</v>
      </c>
      <c r="H45" s="26" t="s">
        <v>187</v>
      </c>
      <c r="I45" s="26"/>
      <c r="J45" s="84"/>
      <c r="K45" s="19"/>
      <c r="L45" s="20" t="str">
        <f t="shared" ref="L45:N47" si="15">PROPER(D32)</f>
        <v>25 November 2021</v>
      </c>
      <c r="M45" s="20" t="str">
        <f t="shared" si="15"/>
        <v>27 November 2021</v>
      </c>
      <c r="N45" s="20" t="str">
        <f t="shared" si="15"/>
        <v>18 Desember 2021</v>
      </c>
    </row>
    <row r="46" spans="1:14" ht="20.100000000000001" customHeight="1" x14ac:dyDescent="0.3">
      <c r="A46" s="46" t="str">
        <f t="shared" ref="A46:C50" si="16">A45</f>
        <v>EM.0031</v>
      </c>
      <c r="B46" s="47" t="str">
        <f t="shared" si="16"/>
        <v>3.7</v>
      </c>
      <c r="C46" s="47">
        <f t="shared" si="16"/>
        <v>1500</v>
      </c>
      <c r="D46" s="85" t="s">
        <v>188</v>
      </c>
      <c r="E46" s="85" t="s">
        <v>139</v>
      </c>
      <c r="F46" s="85" t="s">
        <v>533</v>
      </c>
      <c r="G46" s="53" t="s">
        <v>16</v>
      </c>
      <c r="H46" s="54" t="s">
        <v>189</v>
      </c>
      <c r="I46" s="53" t="s">
        <v>499</v>
      </c>
      <c r="J46" s="86" t="s">
        <v>190</v>
      </c>
      <c r="K46" s="19">
        <v>5</v>
      </c>
      <c r="L46" s="20" t="str">
        <f t="shared" si="15"/>
        <v>19 September 2022</v>
      </c>
      <c r="M46" s="20" t="str">
        <f t="shared" si="15"/>
        <v>22 September 2022</v>
      </c>
      <c r="N46" s="20" t="str">
        <f t="shared" si="15"/>
        <v>28 September 2022</v>
      </c>
    </row>
    <row r="47" spans="1:14" ht="20.100000000000001" customHeight="1" x14ac:dyDescent="0.3">
      <c r="A47" s="46" t="str">
        <f t="shared" si="16"/>
        <v>EM.0031</v>
      </c>
      <c r="B47" s="47" t="str">
        <f t="shared" si="16"/>
        <v>3.7</v>
      </c>
      <c r="C47" s="47">
        <f t="shared" si="16"/>
        <v>1500</v>
      </c>
      <c r="D47" s="87"/>
      <c r="E47" s="87"/>
      <c r="F47" s="87"/>
      <c r="G47" s="88"/>
      <c r="H47" s="88"/>
      <c r="I47" s="53" t="s">
        <v>499</v>
      </c>
      <c r="J47" s="69" t="s">
        <v>191</v>
      </c>
      <c r="K47" s="19"/>
      <c r="L47" s="20" t="str">
        <f t="shared" si="15"/>
        <v>07 November 2022</v>
      </c>
      <c r="M47" s="20" t="str">
        <f t="shared" si="15"/>
        <v>08 November 2022</v>
      </c>
      <c r="N47" s="20" t="str">
        <f t="shared" si="15"/>
        <v/>
      </c>
    </row>
    <row r="48" spans="1:14" ht="20.100000000000001" customHeight="1" x14ac:dyDescent="0.3">
      <c r="A48" s="46" t="str">
        <f t="shared" si="16"/>
        <v>EM.0031</v>
      </c>
      <c r="B48" s="47" t="str">
        <f t="shared" si="16"/>
        <v>3.7</v>
      </c>
      <c r="C48" s="47">
        <f t="shared" si="16"/>
        <v>1500</v>
      </c>
      <c r="D48" s="110" t="s">
        <v>192</v>
      </c>
      <c r="E48" s="44" t="s">
        <v>153</v>
      </c>
      <c r="F48" s="110"/>
      <c r="G48" s="45" t="s">
        <v>16</v>
      </c>
      <c r="H48" s="111"/>
      <c r="I48" s="45" t="s">
        <v>499</v>
      </c>
      <c r="J48" s="112"/>
      <c r="K48" s="19">
        <v>8</v>
      </c>
      <c r="L48" s="20" t="e">
        <f>PROPER(#REF!)</f>
        <v>#REF!</v>
      </c>
      <c r="M48" s="20" t="e">
        <f>PROPER(#REF!)</f>
        <v>#REF!</v>
      </c>
      <c r="N48" s="20" t="e">
        <f>PROPER(#REF!)</f>
        <v>#REF!</v>
      </c>
    </row>
    <row r="49" spans="1:14" ht="20.100000000000001" customHeight="1" x14ac:dyDescent="0.3">
      <c r="A49" s="46" t="str">
        <f t="shared" si="16"/>
        <v>EM.0031</v>
      </c>
      <c r="B49" s="47" t="str">
        <f t="shared" si="16"/>
        <v>3.7</v>
      </c>
      <c r="C49" s="47">
        <f t="shared" si="16"/>
        <v>1500</v>
      </c>
      <c r="D49" s="41" t="s">
        <v>193</v>
      </c>
      <c r="E49" s="41" t="s">
        <v>194</v>
      </c>
      <c r="F49" s="113"/>
      <c r="G49" s="27" t="s">
        <v>58</v>
      </c>
      <c r="H49" s="114"/>
      <c r="I49" s="45" t="s">
        <v>499</v>
      </c>
      <c r="J49" s="72"/>
      <c r="K49" s="19"/>
      <c r="L49" s="20" t="e">
        <f>PROPER(#REF!)</f>
        <v>#REF!</v>
      </c>
      <c r="M49" s="20" t="e">
        <f>PROPER(#REF!)</f>
        <v>#REF!</v>
      </c>
      <c r="N49" s="20" t="e">
        <f>PROPER(#REF!)</f>
        <v>#REF!</v>
      </c>
    </row>
    <row r="50" spans="1:14" ht="20.100000000000001" customHeight="1" x14ac:dyDescent="0.3">
      <c r="A50" s="83" t="str">
        <f t="shared" si="16"/>
        <v>EM.0031</v>
      </c>
      <c r="B50" s="23" t="str">
        <f t="shared" si="16"/>
        <v>3.7</v>
      </c>
      <c r="C50" s="23">
        <f t="shared" si="16"/>
        <v>1500</v>
      </c>
      <c r="D50" s="41" t="s">
        <v>195</v>
      </c>
      <c r="E50" s="41" t="s">
        <v>196</v>
      </c>
      <c r="F50" s="113"/>
      <c r="G50" s="27" t="s">
        <v>58</v>
      </c>
      <c r="H50" s="114"/>
      <c r="I50" s="45" t="s">
        <v>499</v>
      </c>
      <c r="J50" s="72"/>
      <c r="K50" s="19"/>
      <c r="L50" s="20" t="str">
        <f t="shared" ref="L50:N51" si="17">PROPER(D35)</f>
        <v>25 November 2021</v>
      </c>
      <c r="M50" s="20" t="str">
        <f t="shared" si="17"/>
        <v>20 Desember 2021</v>
      </c>
      <c r="N50" s="20" t="str">
        <f t="shared" si="17"/>
        <v>29 Desember 2021</v>
      </c>
    </row>
    <row r="51" spans="1:14" ht="20.100000000000001" customHeight="1" x14ac:dyDescent="0.3">
      <c r="A51" s="57" t="s">
        <v>197</v>
      </c>
      <c r="B51" s="30" t="s">
        <v>30</v>
      </c>
      <c r="C51" s="76">
        <v>1500</v>
      </c>
      <c r="D51" s="36" t="s">
        <v>186</v>
      </c>
      <c r="E51" s="36" t="s">
        <v>198</v>
      </c>
      <c r="F51" s="36" t="s">
        <v>199</v>
      </c>
      <c r="G51" s="38" t="s">
        <v>16</v>
      </c>
      <c r="H51" s="38"/>
      <c r="I51" s="45" t="s">
        <v>200</v>
      </c>
      <c r="J51" s="39"/>
      <c r="K51" s="19"/>
      <c r="L51" s="20" t="str">
        <f t="shared" si="17"/>
        <v>07 Agustus 2022</v>
      </c>
      <c r="M51" s="20" t="str">
        <f t="shared" si="17"/>
        <v>13 Agustus 2022</v>
      </c>
      <c r="N51" s="20" t="str">
        <f t="shared" si="17"/>
        <v/>
      </c>
    </row>
    <row r="52" spans="1:14" ht="20.100000000000001" customHeight="1" x14ac:dyDescent="0.3">
      <c r="A52" s="58" t="s">
        <v>197</v>
      </c>
      <c r="B52" s="47" t="s">
        <v>30</v>
      </c>
      <c r="C52" s="106">
        <v>1500</v>
      </c>
      <c r="D52" s="36">
        <v>45296</v>
      </c>
      <c r="E52" s="36">
        <v>45306</v>
      </c>
      <c r="F52" s="36">
        <v>45321</v>
      </c>
      <c r="G52" s="38" t="s">
        <v>58</v>
      </c>
      <c r="H52" s="38"/>
      <c r="I52" s="45" t="s">
        <v>200</v>
      </c>
      <c r="J52" s="39"/>
      <c r="K52" s="19"/>
      <c r="L52" s="20"/>
      <c r="M52" s="20"/>
      <c r="N52" s="20"/>
    </row>
    <row r="53" spans="1:14" ht="20.100000000000001" customHeight="1" x14ac:dyDescent="0.3">
      <c r="A53" s="91" t="str">
        <f>A51</f>
        <v>EM.0032</v>
      </c>
      <c r="B53" s="23" t="str">
        <f>B51</f>
        <v>7.5</v>
      </c>
      <c r="C53" s="35">
        <f>C51</f>
        <v>1500</v>
      </c>
      <c r="D53" s="36">
        <v>45451</v>
      </c>
      <c r="E53" s="36">
        <v>45451</v>
      </c>
      <c r="F53" s="36">
        <v>45475</v>
      </c>
      <c r="G53" s="38" t="s">
        <v>58</v>
      </c>
      <c r="H53" s="38"/>
      <c r="I53" s="45" t="s">
        <v>200</v>
      </c>
      <c r="J53" s="39"/>
      <c r="K53" s="19"/>
      <c r="L53" s="20" t="str">
        <f t="shared" ref="L53:N58" si="18">PROPER(D37)</f>
        <v>13 Oktober 2023</v>
      </c>
      <c r="M53" s="20" t="str">
        <f t="shared" si="18"/>
        <v>13 Oktober 2023</v>
      </c>
      <c r="N53" s="20" t="str">
        <f t="shared" si="18"/>
        <v/>
      </c>
    </row>
    <row r="54" spans="1:14" ht="20.100000000000001" customHeight="1" x14ac:dyDescent="0.3">
      <c r="A54" s="46" t="e">
        <f>#REF!</f>
        <v>#REF!</v>
      </c>
      <c r="B54" s="47">
        <v>3</v>
      </c>
      <c r="C54" s="47">
        <v>1500</v>
      </c>
      <c r="D54" s="24" t="s">
        <v>204</v>
      </c>
      <c r="E54" s="24" t="s">
        <v>198</v>
      </c>
      <c r="F54" s="24" t="s">
        <v>14</v>
      </c>
      <c r="G54" s="32" t="s">
        <v>16</v>
      </c>
      <c r="H54" s="32" t="s">
        <v>205</v>
      </c>
      <c r="I54" s="32"/>
      <c r="J54" s="33" t="s">
        <v>206</v>
      </c>
      <c r="K54" s="19"/>
      <c r="L54" s="20" t="str">
        <f t="shared" si="18"/>
        <v>11 Desember 2021</v>
      </c>
      <c r="M54" s="20" t="str">
        <f t="shared" si="18"/>
        <v>20 Desember 2021</v>
      </c>
      <c r="N54" s="20" t="str">
        <f t="shared" si="18"/>
        <v>29 Desember 2021</v>
      </c>
    </row>
    <row r="55" spans="1:14" ht="20.100000000000001" customHeight="1" x14ac:dyDescent="0.3">
      <c r="A55" s="46" t="e">
        <f t="shared" ref="A55:C58" si="19">A54</f>
        <v>#REF!</v>
      </c>
      <c r="B55" s="47">
        <f t="shared" si="19"/>
        <v>3</v>
      </c>
      <c r="C55" s="47">
        <f t="shared" si="19"/>
        <v>1500</v>
      </c>
      <c r="D55" s="75" t="s">
        <v>207</v>
      </c>
      <c r="E55" s="52" t="s">
        <v>121</v>
      </c>
      <c r="F55" s="90" t="s">
        <v>23</v>
      </c>
      <c r="G55" s="53" t="s">
        <v>42</v>
      </c>
      <c r="H55" s="59" t="s">
        <v>208</v>
      </c>
      <c r="I55" s="59"/>
      <c r="J55" s="54"/>
      <c r="K55" s="19">
        <v>6</v>
      </c>
      <c r="L55" s="20" t="str">
        <f t="shared" si="18"/>
        <v>29 April 2022</v>
      </c>
      <c r="M55" s="20" t="str">
        <f t="shared" si="18"/>
        <v>18 Mei 2022</v>
      </c>
      <c r="N55" s="20" t="str">
        <f t="shared" si="18"/>
        <v>09 Juni 2022</v>
      </c>
    </row>
    <row r="56" spans="1:14" ht="20.100000000000001" customHeight="1" x14ac:dyDescent="0.3">
      <c r="A56" s="46" t="e">
        <f t="shared" si="19"/>
        <v>#REF!</v>
      </c>
      <c r="B56" s="47">
        <f t="shared" si="19"/>
        <v>3</v>
      </c>
      <c r="C56" s="47">
        <f t="shared" si="19"/>
        <v>1500</v>
      </c>
      <c r="D56" s="52" t="s">
        <v>180</v>
      </c>
      <c r="E56" s="52" t="s">
        <v>181</v>
      </c>
      <c r="F56" s="52" t="s">
        <v>209</v>
      </c>
      <c r="G56" s="53" t="s">
        <v>42</v>
      </c>
      <c r="H56" s="59"/>
      <c r="I56" s="59"/>
      <c r="J56" s="69" t="s">
        <v>210</v>
      </c>
      <c r="K56" s="19"/>
      <c r="L56" s="20" t="str">
        <f t="shared" si="18"/>
        <v>29 September 2022</v>
      </c>
      <c r="M56" s="20" t="str">
        <f t="shared" si="18"/>
        <v>06 Oktober 2022</v>
      </c>
      <c r="N56" s="20" t="str">
        <f t="shared" si="18"/>
        <v/>
      </c>
    </row>
    <row r="57" spans="1:14" ht="20.100000000000001" customHeight="1" x14ac:dyDescent="0.3">
      <c r="A57" s="46" t="e">
        <f t="shared" si="19"/>
        <v>#REF!</v>
      </c>
      <c r="B57" s="47">
        <f t="shared" si="19"/>
        <v>3</v>
      </c>
      <c r="C57" s="47">
        <f t="shared" si="19"/>
        <v>1500</v>
      </c>
      <c r="D57" s="25" t="s">
        <v>209</v>
      </c>
      <c r="E57" s="25" t="s">
        <v>211</v>
      </c>
      <c r="F57" s="25" t="s">
        <v>83</v>
      </c>
      <c r="G57" s="53" t="s">
        <v>42</v>
      </c>
      <c r="H57" s="59" t="s">
        <v>212</v>
      </c>
      <c r="I57" s="59"/>
      <c r="J57" s="69"/>
      <c r="K57" s="19"/>
      <c r="L57" s="20" t="str">
        <f t="shared" si="18"/>
        <v>-</v>
      </c>
      <c r="M57" s="20" t="str">
        <f t="shared" si="18"/>
        <v>16 Desember 2022</v>
      </c>
      <c r="N57" s="20" t="str">
        <f t="shared" si="18"/>
        <v>13 Januari 2023</v>
      </c>
    </row>
    <row r="58" spans="1:14" ht="20.100000000000001" customHeight="1" x14ac:dyDescent="0.3">
      <c r="A58" s="83" t="e">
        <f t="shared" si="19"/>
        <v>#REF!</v>
      </c>
      <c r="B58" s="23">
        <f t="shared" si="19"/>
        <v>3</v>
      </c>
      <c r="C58" s="23">
        <f t="shared" si="19"/>
        <v>1500</v>
      </c>
      <c r="D58" s="25" t="s">
        <v>110</v>
      </c>
      <c r="E58" s="25" t="s">
        <v>111</v>
      </c>
      <c r="F58" s="25" t="s">
        <v>213</v>
      </c>
      <c r="G58" s="26" t="s">
        <v>16</v>
      </c>
      <c r="H58" s="55"/>
      <c r="I58" s="55"/>
      <c r="J58" s="28"/>
      <c r="K58" s="19"/>
      <c r="L58" s="20" t="str">
        <f t="shared" si="18"/>
        <v>23 Agustus 2023</v>
      </c>
      <c r="M58" s="20" t="str">
        <f t="shared" si="18"/>
        <v>23 Agustus 2023</v>
      </c>
      <c r="N58" s="20" t="str">
        <f t="shared" si="18"/>
        <v>29 Agustus 2023</v>
      </c>
    </row>
    <row r="59" spans="1:14" ht="20.100000000000001" customHeight="1" x14ac:dyDescent="0.3">
      <c r="A59" s="61" t="s">
        <v>221</v>
      </c>
      <c r="B59" s="29" t="s">
        <v>115</v>
      </c>
      <c r="C59" s="30">
        <v>1500</v>
      </c>
      <c r="D59" s="40" t="s">
        <v>222</v>
      </c>
      <c r="E59" s="40" t="s">
        <v>198</v>
      </c>
      <c r="F59" s="40" t="s">
        <v>199</v>
      </c>
      <c r="G59" s="27" t="s">
        <v>16</v>
      </c>
      <c r="H59" s="27"/>
      <c r="I59" s="27" t="s">
        <v>559</v>
      </c>
      <c r="J59" s="42"/>
      <c r="K59" s="19">
        <v>1</v>
      </c>
      <c r="L59" s="20" t="str">
        <f t="shared" ref="L59:N60" si="20">PROPER(D50)</f>
        <v>04 Oktober 2023</v>
      </c>
      <c r="M59" s="20" t="str">
        <f t="shared" si="20"/>
        <v>12 Oktober 2023</v>
      </c>
      <c r="N59" s="20" t="str">
        <f t="shared" si="20"/>
        <v/>
      </c>
    </row>
    <row r="60" spans="1:14" ht="20.100000000000001" customHeight="1" x14ac:dyDescent="0.3">
      <c r="A60" s="46" t="str">
        <f>A59</f>
        <v>EM.0039</v>
      </c>
      <c r="B60" s="105" t="str">
        <f>B59</f>
        <v>2.2</v>
      </c>
      <c r="C60" s="47">
        <f>C59</f>
        <v>1500</v>
      </c>
      <c r="D60" s="41" t="s">
        <v>223</v>
      </c>
      <c r="E60" s="40" t="s">
        <v>111</v>
      </c>
      <c r="F60" s="40" t="s">
        <v>213</v>
      </c>
      <c r="G60" s="27" t="s">
        <v>16</v>
      </c>
      <c r="H60" s="27"/>
      <c r="I60" s="27" t="s">
        <v>559</v>
      </c>
      <c r="J60" s="42"/>
      <c r="K60" s="19"/>
      <c r="L60" s="20" t="str">
        <f t="shared" si="20"/>
        <v>19 Desember 2021</v>
      </c>
      <c r="M60" s="20" t="str">
        <f t="shared" si="20"/>
        <v>06 Januari 2022</v>
      </c>
      <c r="N60" s="20" t="str">
        <f t="shared" si="20"/>
        <v>12 Januari 2022</v>
      </c>
    </row>
    <row r="61" spans="1:14" ht="20.100000000000001" customHeight="1" x14ac:dyDescent="0.3">
      <c r="A61" s="46" t="s">
        <v>221</v>
      </c>
      <c r="B61" s="105" t="s">
        <v>115</v>
      </c>
      <c r="C61" s="47">
        <v>1500</v>
      </c>
      <c r="D61" s="41" t="s">
        <v>224</v>
      </c>
      <c r="E61" s="40" t="s">
        <v>225</v>
      </c>
      <c r="F61" s="40" t="s">
        <v>226</v>
      </c>
      <c r="G61" s="27" t="s">
        <v>58</v>
      </c>
      <c r="H61" s="27"/>
      <c r="I61" s="27" t="s">
        <v>559</v>
      </c>
      <c r="J61" s="42"/>
      <c r="K61" s="19"/>
      <c r="L61" s="20"/>
      <c r="M61" s="20"/>
      <c r="N61" s="20"/>
    </row>
    <row r="62" spans="1:14" ht="20.100000000000001" customHeight="1" x14ac:dyDescent="0.3">
      <c r="A62" s="83" t="str">
        <f>A60</f>
        <v>EM.0039</v>
      </c>
      <c r="B62" s="34" t="str">
        <f>B60</f>
        <v>2.2</v>
      </c>
      <c r="C62" s="23">
        <f>C60</f>
        <v>1500</v>
      </c>
      <c r="D62" s="41">
        <v>45399</v>
      </c>
      <c r="E62" s="41">
        <v>45399</v>
      </c>
      <c r="F62" s="40">
        <v>45422</v>
      </c>
      <c r="G62" s="102" t="s">
        <v>58</v>
      </c>
      <c r="H62" s="27"/>
      <c r="I62" s="27" t="s">
        <v>559</v>
      </c>
      <c r="J62" s="42"/>
      <c r="K62" s="19"/>
      <c r="L62" s="20" t="str">
        <f t="shared" ref="L62:N67" si="21">PROPER(D53)</f>
        <v>45451</v>
      </c>
      <c r="M62" s="20" t="str">
        <f t="shared" si="21"/>
        <v>45451</v>
      </c>
      <c r="N62" s="20" t="str">
        <f t="shared" si="21"/>
        <v>45475</v>
      </c>
    </row>
    <row r="63" spans="1:14" ht="20.100000000000001" customHeight="1" x14ac:dyDescent="0.3">
      <c r="A63" s="57" t="s">
        <v>230</v>
      </c>
      <c r="B63" s="30" t="s">
        <v>30</v>
      </c>
      <c r="C63" s="30">
        <v>1500</v>
      </c>
      <c r="D63" s="40" t="s">
        <v>231</v>
      </c>
      <c r="E63" s="41" t="s">
        <v>14</v>
      </c>
      <c r="F63" s="41" t="s">
        <v>15</v>
      </c>
      <c r="G63" s="27" t="s">
        <v>16</v>
      </c>
      <c r="H63" s="43"/>
      <c r="I63" s="43" t="s">
        <v>578</v>
      </c>
      <c r="J63" s="42"/>
      <c r="K63" s="19"/>
      <c r="L63" s="20" t="str">
        <f t="shared" si="21"/>
        <v>13 Agustus 2021</v>
      </c>
      <c r="M63" s="20" t="str">
        <f t="shared" si="21"/>
        <v>06 Januari 2022</v>
      </c>
      <c r="N63" s="20" t="str">
        <f t="shared" si="21"/>
        <v>20 Januari 2022</v>
      </c>
    </row>
    <row r="64" spans="1:14" ht="20.100000000000001" customHeight="1" x14ac:dyDescent="0.3">
      <c r="A64" s="58" t="str">
        <f t="shared" ref="A64:C65" si="22">A63</f>
        <v>EM.0042</v>
      </c>
      <c r="B64" s="47" t="str">
        <f t="shared" si="22"/>
        <v>7.5</v>
      </c>
      <c r="C64" s="47">
        <f t="shared" si="22"/>
        <v>1500</v>
      </c>
      <c r="D64" s="40" t="s">
        <v>83</v>
      </c>
      <c r="E64" s="41" t="s">
        <v>84</v>
      </c>
      <c r="F64" s="41" t="s">
        <v>232</v>
      </c>
      <c r="G64" s="27" t="s">
        <v>16</v>
      </c>
      <c r="H64" s="43"/>
      <c r="I64" s="43" t="s">
        <v>578</v>
      </c>
      <c r="J64" s="42"/>
      <c r="K64" s="19"/>
      <c r="L64" s="20" t="str">
        <f t="shared" si="21"/>
        <v>16 Juni 2022</v>
      </c>
      <c r="M64" s="20" t="str">
        <f t="shared" si="21"/>
        <v>25 Juli 2022</v>
      </c>
      <c r="N64" s="20" t="str">
        <f t="shared" si="21"/>
        <v>11 Agustus 2022</v>
      </c>
    </row>
    <row r="65" spans="1:14" ht="20.100000000000001" customHeight="1" x14ac:dyDescent="0.3">
      <c r="A65" s="91" t="str">
        <f t="shared" si="22"/>
        <v>EM.0042</v>
      </c>
      <c r="B65" s="23" t="str">
        <f t="shared" si="22"/>
        <v>7.5</v>
      </c>
      <c r="C65" s="23">
        <f t="shared" si="22"/>
        <v>1500</v>
      </c>
      <c r="D65" s="40" t="s">
        <v>233</v>
      </c>
      <c r="E65" s="40" t="s">
        <v>234</v>
      </c>
      <c r="F65" s="41" t="s">
        <v>235</v>
      </c>
      <c r="G65" s="27" t="s">
        <v>236</v>
      </c>
      <c r="H65" s="43"/>
      <c r="I65" s="43" t="s">
        <v>578</v>
      </c>
      <c r="J65" s="42"/>
      <c r="K65" s="19"/>
      <c r="L65" s="20" t="str">
        <f t="shared" si="21"/>
        <v>29 September 2022</v>
      </c>
      <c r="M65" s="20" t="str">
        <f t="shared" si="21"/>
        <v>06 Oktober 2022</v>
      </c>
      <c r="N65" s="20" t="str">
        <f t="shared" si="21"/>
        <v>14 November 2022</v>
      </c>
    </row>
    <row r="66" spans="1:14" ht="20.100000000000001" customHeight="1" x14ac:dyDescent="0.3">
      <c r="A66" s="57" t="s">
        <v>237</v>
      </c>
      <c r="B66" s="107">
        <v>3</v>
      </c>
      <c r="C66" s="30">
        <v>1500</v>
      </c>
      <c r="D66" s="41" t="s">
        <v>83</v>
      </c>
      <c r="E66" s="41" t="s">
        <v>81</v>
      </c>
      <c r="F66" s="40" t="s">
        <v>82</v>
      </c>
      <c r="G66" s="27" t="s">
        <v>42</v>
      </c>
      <c r="H66" s="27"/>
      <c r="I66" s="27" t="s">
        <v>238</v>
      </c>
      <c r="J66" s="42"/>
      <c r="K66" s="19"/>
      <c r="L66" s="20" t="str">
        <f t="shared" si="21"/>
        <v>14 November 2022</v>
      </c>
      <c r="M66" s="20" t="str">
        <f t="shared" si="21"/>
        <v>17 November 2022</v>
      </c>
      <c r="N66" s="20" t="str">
        <f t="shared" si="21"/>
        <v>-</v>
      </c>
    </row>
    <row r="67" spans="1:14" ht="20.100000000000001" customHeight="1" x14ac:dyDescent="0.3">
      <c r="A67" s="58" t="str">
        <f t="shared" ref="A67:C68" si="23">A66</f>
        <v>EM.0043</v>
      </c>
      <c r="B67" s="108">
        <f t="shared" si="23"/>
        <v>3</v>
      </c>
      <c r="C67" s="47">
        <f t="shared" si="23"/>
        <v>1500</v>
      </c>
      <c r="D67" s="41" t="s">
        <v>194</v>
      </c>
      <c r="E67" s="41" t="s">
        <v>83</v>
      </c>
      <c r="F67" s="41" t="s">
        <v>83</v>
      </c>
      <c r="G67" s="41" t="s">
        <v>83</v>
      </c>
      <c r="H67" s="27"/>
      <c r="I67" s="27" t="s">
        <v>238</v>
      </c>
      <c r="J67" s="42"/>
      <c r="K67" s="19"/>
      <c r="L67" s="20" t="str">
        <f>PROPER(D58)</f>
        <v>07 Januari 2023</v>
      </c>
      <c r="M67" s="20" t="str">
        <f t="shared" si="21"/>
        <v>11 Januari 2023</v>
      </c>
      <c r="N67" s="20" t="str">
        <f t="shared" si="21"/>
        <v>26 Januari 2023</v>
      </c>
    </row>
    <row r="68" spans="1:14" ht="20.100000000000001" customHeight="1" x14ac:dyDescent="0.3">
      <c r="A68" s="91" t="str">
        <f t="shared" si="23"/>
        <v>EM.0043</v>
      </c>
      <c r="B68" s="22">
        <f t="shared" si="23"/>
        <v>3</v>
      </c>
      <c r="C68" s="23">
        <f t="shared" si="23"/>
        <v>1500</v>
      </c>
      <c r="D68" s="41">
        <v>45341</v>
      </c>
      <c r="E68" s="41">
        <v>45342</v>
      </c>
      <c r="F68" s="41">
        <v>45365</v>
      </c>
      <c r="G68" s="102" t="s">
        <v>58</v>
      </c>
      <c r="H68" s="27"/>
      <c r="I68" s="27" t="s">
        <v>238</v>
      </c>
      <c r="J68" s="42"/>
      <c r="K68" s="19"/>
      <c r="L68" s="20" t="e">
        <f>PROPER(#REF!)</f>
        <v>#REF!</v>
      </c>
      <c r="M68" s="20" t="e">
        <f>PROPER(#REF!)</f>
        <v>#REF!</v>
      </c>
      <c r="N68" s="20" t="e">
        <f>PROPER(#REF!)</f>
        <v>#REF!</v>
      </c>
    </row>
    <row r="69" spans="1:14" ht="20.100000000000001" customHeight="1" x14ac:dyDescent="0.3">
      <c r="A69" s="61" t="s">
        <v>247</v>
      </c>
      <c r="B69" s="30" t="s">
        <v>115</v>
      </c>
      <c r="C69" s="30">
        <v>1500</v>
      </c>
      <c r="D69" s="25" t="s">
        <v>248</v>
      </c>
      <c r="E69" s="25" t="s">
        <v>64</v>
      </c>
      <c r="F69" s="25" t="s">
        <v>65</v>
      </c>
      <c r="G69" s="53" t="s">
        <v>66</v>
      </c>
      <c r="H69" s="55" t="s">
        <v>249</v>
      </c>
      <c r="I69" s="55" t="s">
        <v>579</v>
      </c>
      <c r="J69" s="56" t="s">
        <v>534</v>
      </c>
      <c r="K69" s="19">
        <v>2</v>
      </c>
      <c r="L69" s="20" t="str">
        <f>PROPER(D60)</f>
        <v>05 Desember 2022</v>
      </c>
      <c r="M69" s="20" t="str">
        <f>PROPER(E60)</f>
        <v>11 Januari 2023</v>
      </c>
      <c r="N69" s="20" t="str">
        <f>PROPER(F60)</f>
        <v>26 Januari 2023</v>
      </c>
    </row>
    <row r="70" spans="1:14" ht="20.100000000000001" customHeight="1" x14ac:dyDescent="0.3">
      <c r="A70" s="46" t="str">
        <f t="shared" ref="A70:C72" si="24">A69</f>
        <v>EM.0049</v>
      </c>
      <c r="B70" s="47" t="str">
        <f t="shared" si="24"/>
        <v>2.2</v>
      </c>
      <c r="C70" s="47">
        <f t="shared" si="24"/>
        <v>1500</v>
      </c>
      <c r="D70" s="52" t="s">
        <v>249</v>
      </c>
      <c r="E70" s="52" t="s">
        <v>250</v>
      </c>
      <c r="F70" s="52" t="s">
        <v>251</v>
      </c>
      <c r="G70" s="53" t="s">
        <v>66</v>
      </c>
      <c r="H70" s="59" t="s">
        <v>252</v>
      </c>
      <c r="I70" s="94" t="s">
        <v>579</v>
      </c>
      <c r="J70" s="64" t="s">
        <v>253</v>
      </c>
      <c r="K70" s="19"/>
      <c r="L70" s="20" t="str">
        <f>PROPER(D62)</f>
        <v>45399</v>
      </c>
      <c r="M70" s="20" t="str">
        <f>PROPER(E62)</f>
        <v>45399</v>
      </c>
      <c r="N70" s="20" t="str">
        <f>PROPER(F62)</f>
        <v>45422</v>
      </c>
    </row>
    <row r="71" spans="1:14" ht="20.100000000000001" customHeight="1" x14ac:dyDescent="0.3">
      <c r="A71" s="46" t="str">
        <f t="shared" si="24"/>
        <v>EM.0049</v>
      </c>
      <c r="B71" s="47" t="str">
        <f t="shared" si="24"/>
        <v>2.2</v>
      </c>
      <c r="C71" s="47">
        <f t="shared" si="24"/>
        <v>1500</v>
      </c>
      <c r="D71" s="52" t="s">
        <v>254</v>
      </c>
      <c r="E71" s="52" t="s">
        <v>121</v>
      </c>
      <c r="F71" s="90" t="s">
        <v>23</v>
      </c>
      <c r="G71" s="53" t="s">
        <v>42</v>
      </c>
      <c r="H71" s="59" t="s">
        <v>232</v>
      </c>
      <c r="I71" s="59" t="s">
        <v>579</v>
      </c>
      <c r="J71" s="54"/>
      <c r="K71" s="19">
        <v>7</v>
      </c>
      <c r="L71" s="20" t="e">
        <f>PROPER(#REF!)</f>
        <v>#REF!</v>
      </c>
      <c r="M71" s="20" t="e">
        <f>PROPER(#REF!)</f>
        <v>#REF!</v>
      </c>
      <c r="N71" s="20" t="e">
        <f>PROPER(#REF!)</f>
        <v>#REF!</v>
      </c>
    </row>
    <row r="72" spans="1:14" ht="20.100000000000001" customHeight="1" x14ac:dyDescent="0.3">
      <c r="A72" s="83" t="str">
        <f t="shared" si="24"/>
        <v>EM.0049</v>
      </c>
      <c r="B72" s="23" t="str">
        <f t="shared" si="24"/>
        <v>2.2</v>
      </c>
      <c r="C72" s="23">
        <f t="shared" si="24"/>
        <v>1500</v>
      </c>
      <c r="D72" s="25" t="s">
        <v>255</v>
      </c>
      <c r="E72" s="25"/>
      <c r="F72" s="95" t="s">
        <v>142</v>
      </c>
      <c r="G72" s="26" t="s">
        <v>16</v>
      </c>
      <c r="H72" s="55"/>
      <c r="I72" s="55" t="s">
        <v>579</v>
      </c>
      <c r="J72" s="28"/>
      <c r="K72" s="19"/>
      <c r="L72" s="20" t="e">
        <f>PROPER(#REF!)</f>
        <v>#REF!</v>
      </c>
      <c r="M72" s="20" t="e">
        <f>PROPER(#REF!)</f>
        <v>#REF!</v>
      </c>
      <c r="N72" s="20" t="e">
        <f>PROPER(#REF!)</f>
        <v>#REF!</v>
      </c>
    </row>
    <row r="73" spans="1:14" ht="20.100000000000001" customHeight="1" x14ac:dyDescent="0.3">
      <c r="A73" s="57" t="s">
        <v>257</v>
      </c>
      <c r="B73" s="30" t="s">
        <v>258</v>
      </c>
      <c r="C73" s="30">
        <v>1500</v>
      </c>
      <c r="D73" s="25" t="s">
        <v>259</v>
      </c>
      <c r="E73" s="25" t="s">
        <v>64</v>
      </c>
      <c r="F73" s="25" t="s">
        <v>65</v>
      </c>
      <c r="G73" s="26" t="s">
        <v>66</v>
      </c>
      <c r="H73" s="59" t="s">
        <v>260</v>
      </c>
      <c r="I73" s="59"/>
      <c r="J73" s="56" t="s">
        <v>261</v>
      </c>
      <c r="K73" s="19">
        <v>2</v>
      </c>
      <c r="L73" s="20" t="str">
        <f>PROPER(D64)</f>
        <v>-</v>
      </c>
      <c r="M73" s="20" t="str">
        <f t="shared" ref="L73:N75" si="25">PROPER(E64)</f>
        <v>16 Desember 2022</v>
      </c>
      <c r="N73" s="20" t="str">
        <f t="shared" si="25"/>
        <v>30 Desember 2022</v>
      </c>
    </row>
    <row r="74" spans="1:14" ht="20.100000000000001" customHeight="1" x14ac:dyDescent="0.3">
      <c r="A74" s="58" t="str">
        <f t="shared" ref="A74:C75" si="26">A73</f>
        <v>EM.0051</v>
      </c>
      <c r="B74" s="47" t="str">
        <f t="shared" si="26"/>
        <v>3.7 / 3</v>
      </c>
      <c r="C74" s="47">
        <f t="shared" si="26"/>
        <v>1500</v>
      </c>
      <c r="D74" s="52" t="s">
        <v>262</v>
      </c>
      <c r="E74" s="52" t="s">
        <v>121</v>
      </c>
      <c r="F74" s="90" t="s">
        <v>122</v>
      </c>
      <c r="G74" s="53" t="s">
        <v>42</v>
      </c>
      <c r="H74" s="59"/>
      <c r="I74" s="59"/>
      <c r="J74" s="54"/>
      <c r="K74" s="19">
        <v>7</v>
      </c>
      <c r="L74" s="20" t="str">
        <f t="shared" si="25"/>
        <v>05 Desember 2023</v>
      </c>
      <c r="M74" s="20" t="str">
        <f t="shared" si="25"/>
        <v>06 Desember 2023</v>
      </c>
      <c r="N74" s="20" t="str">
        <f t="shared" si="25"/>
        <v>20 Desember 2023</v>
      </c>
    </row>
    <row r="75" spans="1:14" ht="20.100000000000001" customHeight="1" x14ac:dyDescent="0.3">
      <c r="A75" s="91" t="str">
        <f t="shared" si="26"/>
        <v>EM.0051</v>
      </c>
      <c r="B75" s="23" t="str">
        <f t="shared" si="26"/>
        <v>3.7 / 3</v>
      </c>
      <c r="C75" s="23">
        <f t="shared" si="26"/>
        <v>1500</v>
      </c>
      <c r="D75" s="25" t="s">
        <v>112</v>
      </c>
      <c r="E75" s="25"/>
      <c r="F75" s="95" t="s">
        <v>142</v>
      </c>
      <c r="G75" s="26" t="s">
        <v>16</v>
      </c>
      <c r="H75" s="55"/>
      <c r="I75" s="55"/>
      <c r="J75" s="28"/>
      <c r="K75" s="19"/>
      <c r="L75" s="20" t="str">
        <f t="shared" si="25"/>
        <v>-</v>
      </c>
      <c r="M75" s="20" t="str">
        <f t="shared" si="25"/>
        <v>22 Januari 2022</v>
      </c>
      <c r="N75" s="20" t="str">
        <f t="shared" si="25"/>
        <v>14 Februari 2022</v>
      </c>
    </row>
    <row r="76" spans="1:14" ht="20.100000000000001" customHeight="1" x14ac:dyDescent="0.3">
      <c r="A76" s="57" t="s">
        <v>277</v>
      </c>
      <c r="B76" s="30">
        <v>11</v>
      </c>
      <c r="C76" s="30">
        <v>3000</v>
      </c>
      <c r="D76" s="41" t="s">
        <v>26</v>
      </c>
      <c r="E76" s="40" t="s">
        <v>266</v>
      </c>
      <c r="F76" s="40" t="s">
        <v>278</v>
      </c>
      <c r="G76" s="89" t="s">
        <v>16</v>
      </c>
      <c r="H76" s="27" t="s">
        <v>267</v>
      </c>
      <c r="I76" s="27" t="s">
        <v>580</v>
      </c>
      <c r="J76" s="42"/>
      <c r="K76" s="19">
        <v>3</v>
      </c>
      <c r="L76" s="20" t="str">
        <f t="shared" ref="L76:N78" si="27">PROPER(D69)</f>
        <v>07 Februari 2022</v>
      </c>
      <c r="M76" s="20" t="str">
        <f t="shared" si="27"/>
        <v>10 Maret 2022</v>
      </c>
      <c r="N76" s="20" t="str">
        <f t="shared" si="27"/>
        <v>05 April 2022</v>
      </c>
    </row>
    <row r="77" spans="1:14" ht="20.100000000000001" customHeight="1" x14ac:dyDescent="0.3">
      <c r="A77" s="58" t="str">
        <f t="shared" ref="A77:C78" si="28">A76</f>
        <v>EM.0057</v>
      </c>
      <c r="B77" s="47">
        <f t="shared" si="28"/>
        <v>11</v>
      </c>
      <c r="C77" s="47">
        <f t="shared" si="28"/>
        <v>3000</v>
      </c>
      <c r="D77" s="41" t="s">
        <v>112</v>
      </c>
      <c r="E77" s="40"/>
      <c r="F77" s="40" t="s">
        <v>142</v>
      </c>
      <c r="G77" s="27" t="s">
        <v>16</v>
      </c>
      <c r="H77" s="27"/>
      <c r="I77" s="27" t="s">
        <v>580</v>
      </c>
      <c r="J77" s="42"/>
      <c r="K77" s="19"/>
      <c r="L77" s="20" t="str">
        <f t="shared" si="27"/>
        <v>22 April 2022</v>
      </c>
      <c r="M77" s="20" t="str">
        <f t="shared" si="27"/>
        <v>23 April 2022</v>
      </c>
      <c r="N77" s="20" t="str">
        <f t="shared" si="27"/>
        <v>27 April 2022</v>
      </c>
    </row>
    <row r="78" spans="1:14" ht="20.100000000000001" customHeight="1" x14ac:dyDescent="0.3">
      <c r="A78" s="91" t="str">
        <f t="shared" si="28"/>
        <v>EM.0057</v>
      </c>
      <c r="B78" s="23">
        <f t="shared" si="28"/>
        <v>11</v>
      </c>
      <c r="C78" s="23">
        <f t="shared" si="28"/>
        <v>3000</v>
      </c>
      <c r="D78" s="41" t="s">
        <v>274</v>
      </c>
      <c r="E78" s="40" t="s">
        <v>275</v>
      </c>
      <c r="F78" s="40">
        <v>45156</v>
      </c>
      <c r="G78" s="102" t="s">
        <v>58</v>
      </c>
      <c r="H78" s="27"/>
      <c r="I78" s="27" t="s">
        <v>580</v>
      </c>
      <c r="J78" s="42"/>
      <c r="K78" s="19"/>
      <c r="L78" s="20" t="str">
        <f t="shared" si="27"/>
        <v>01 Juli 2022</v>
      </c>
      <c r="M78" s="20" t="str">
        <f t="shared" si="27"/>
        <v>25 Juli 2022</v>
      </c>
      <c r="N78" s="20" t="str">
        <f t="shared" si="27"/>
        <v>11 Agustus 2022</v>
      </c>
    </row>
    <row r="79" spans="1:14" ht="20.100000000000001" customHeight="1" x14ac:dyDescent="0.3">
      <c r="A79" s="57" t="s">
        <v>283</v>
      </c>
      <c r="B79" s="29">
        <v>75</v>
      </c>
      <c r="C79" s="76">
        <v>1500</v>
      </c>
      <c r="D79" s="41" t="s">
        <v>72</v>
      </c>
      <c r="E79" s="41" t="s">
        <v>73</v>
      </c>
      <c r="F79" s="70" t="s">
        <v>282</v>
      </c>
      <c r="G79" s="102" t="s">
        <v>58</v>
      </c>
      <c r="H79" s="77"/>
      <c r="I79" s="102" t="s">
        <v>581</v>
      </c>
      <c r="J79" s="104" t="s">
        <v>284</v>
      </c>
      <c r="K79" s="19">
        <v>4</v>
      </c>
      <c r="L79" s="20" t="str">
        <f>PROPER(D73)</f>
        <v>20 Februari 2022</v>
      </c>
      <c r="M79" s="20" t="str">
        <f>PROPER(E73)</f>
        <v>10 Maret 2022</v>
      </c>
      <c r="N79" s="20" t="str">
        <f>PROPER(F73)</f>
        <v>05 April 2022</v>
      </c>
    </row>
    <row r="80" spans="1:14" ht="20.100000000000001" customHeight="1" x14ac:dyDescent="0.3">
      <c r="A80" s="58" t="s">
        <v>283</v>
      </c>
      <c r="B80" s="105">
        <v>75</v>
      </c>
      <c r="C80" s="106">
        <v>1500</v>
      </c>
      <c r="D80" s="41" t="s">
        <v>55</v>
      </c>
      <c r="E80" s="41">
        <v>45177</v>
      </c>
      <c r="F80" s="70" t="s">
        <v>57</v>
      </c>
      <c r="G80" s="102" t="s">
        <v>58</v>
      </c>
      <c r="H80" s="77"/>
      <c r="I80" s="102" t="s">
        <v>581</v>
      </c>
      <c r="J80" s="104"/>
      <c r="K80" s="19"/>
      <c r="L80" s="20"/>
      <c r="M80" s="20"/>
      <c r="N80" s="20"/>
    </row>
    <row r="81" spans="1:14" ht="20.100000000000001" customHeight="1" x14ac:dyDescent="0.3">
      <c r="A81" s="91" t="str">
        <f>A79</f>
        <v>EM.0060</v>
      </c>
      <c r="B81" s="34">
        <f>B79</f>
        <v>75</v>
      </c>
      <c r="C81" s="35">
        <f>C79</f>
        <v>1500</v>
      </c>
      <c r="D81" s="41">
        <v>45349</v>
      </c>
      <c r="E81" s="41">
        <v>45365</v>
      </c>
      <c r="F81" s="103">
        <v>45399</v>
      </c>
      <c r="G81" s="102" t="s">
        <v>58</v>
      </c>
      <c r="H81" s="77"/>
      <c r="I81" s="102" t="s">
        <v>581</v>
      </c>
      <c r="J81" s="104"/>
      <c r="K81" s="19"/>
      <c r="L81" s="20" t="str">
        <f>PROPER(D74)</f>
        <v>16 Juli 2022</v>
      </c>
      <c r="M81" s="20" t="str">
        <f>PROPER(E74)</f>
        <v>25 Juli 2022</v>
      </c>
      <c r="N81" s="20" t="str">
        <f>PROPER(F74)</f>
        <v>06 Agustus 2022</v>
      </c>
    </row>
    <row r="82" spans="1:14" ht="20.100000000000001" customHeight="1" x14ac:dyDescent="0.3">
      <c r="A82" s="61" t="s">
        <v>294</v>
      </c>
      <c r="B82" s="30" t="s">
        <v>115</v>
      </c>
      <c r="C82" s="30">
        <v>1500</v>
      </c>
      <c r="D82" s="93" t="s">
        <v>249</v>
      </c>
      <c r="E82" s="92" t="s">
        <v>49</v>
      </c>
      <c r="F82" s="100" t="s">
        <v>295</v>
      </c>
      <c r="G82" s="89" t="s">
        <v>66</v>
      </c>
      <c r="H82" s="89" t="s">
        <v>207</v>
      </c>
      <c r="I82" s="27" t="s">
        <v>556</v>
      </c>
      <c r="J82" s="97"/>
      <c r="K82" s="19">
        <v>4</v>
      </c>
      <c r="L82" s="20" t="e">
        <f>PROPER(#REF!)</f>
        <v>#REF!</v>
      </c>
      <c r="M82" s="20" t="e">
        <f>PROPER(#REF!)</f>
        <v>#REF!</v>
      </c>
      <c r="N82" s="20" t="e">
        <f>PROPER(#REF!)</f>
        <v>#REF!</v>
      </c>
    </row>
    <row r="83" spans="1:14" ht="20.100000000000001" customHeight="1" x14ac:dyDescent="0.3">
      <c r="A83" s="46" t="str">
        <f>A82</f>
        <v>EM.0064</v>
      </c>
      <c r="B83" s="47" t="str">
        <f>B82</f>
        <v>2.2</v>
      </c>
      <c r="C83" s="47">
        <f>C82</f>
        <v>1500</v>
      </c>
      <c r="D83" s="93" t="s">
        <v>264</v>
      </c>
      <c r="E83" s="93" t="s">
        <v>153</v>
      </c>
      <c r="F83" s="100"/>
      <c r="G83" s="98" t="s">
        <v>16</v>
      </c>
      <c r="H83" s="89"/>
      <c r="I83" s="27" t="s">
        <v>556</v>
      </c>
      <c r="J83" s="97"/>
      <c r="K83" s="19"/>
      <c r="L83" s="20" t="e">
        <f>PROPER(#REF!)</f>
        <v>#REF!</v>
      </c>
      <c r="M83" s="20" t="e">
        <f>PROPER(#REF!)</f>
        <v>#REF!</v>
      </c>
      <c r="N83" s="20" t="e">
        <f>PROPER(#REF!)</f>
        <v>#REF!</v>
      </c>
    </row>
    <row r="84" spans="1:14" ht="20.100000000000001" customHeight="1" x14ac:dyDescent="0.3">
      <c r="A84" s="46" t="s">
        <v>294</v>
      </c>
      <c r="B84" s="47" t="s">
        <v>115</v>
      </c>
      <c r="C84" s="47">
        <v>1500</v>
      </c>
      <c r="D84" s="93" t="s">
        <v>296</v>
      </c>
      <c r="E84" s="93" t="s">
        <v>111</v>
      </c>
      <c r="F84" s="100" t="s">
        <v>213</v>
      </c>
      <c r="G84" s="98" t="s">
        <v>16</v>
      </c>
      <c r="H84" s="89"/>
      <c r="I84" s="27" t="s">
        <v>556</v>
      </c>
      <c r="J84" s="97"/>
      <c r="K84" s="19"/>
      <c r="L84" s="20"/>
      <c r="M84" s="20"/>
      <c r="N84" s="20"/>
    </row>
    <row r="85" spans="1:14" ht="20.100000000000001" customHeight="1" x14ac:dyDescent="0.3">
      <c r="A85" s="83" t="str">
        <f>A83</f>
        <v>EM.0064</v>
      </c>
      <c r="B85" s="23" t="str">
        <f>B83</f>
        <v>2.2</v>
      </c>
      <c r="C85" s="23">
        <f>C83</f>
        <v>1500</v>
      </c>
      <c r="D85" s="41">
        <v>45399</v>
      </c>
      <c r="E85" s="41">
        <v>45399</v>
      </c>
      <c r="F85" s="101">
        <v>45422</v>
      </c>
      <c r="G85" s="102" t="s">
        <v>16</v>
      </c>
      <c r="H85" s="27"/>
      <c r="I85" s="27" t="s">
        <v>556</v>
      </c>
      <c r="J85" s="77"/>
      <c r="K85" s="19"/>
      <c r="L85" s="20" t="e">
        <f>PROPER(#REF!)</f>
        <v>#REF!</v>
      </c>
      <c r="M85" s="20" t="e">
        <f>PROPER(#REF!)</f>
        <v>#REF!</v>
      </c>
      <c r="N85" s="20" t="e">
        <f>PROPER(#REF!)</f>
        <v>#REF!</v>
      </c>
    </row>
    <row r="86" spans="1:14" ht="20.100000000000001" customHeight="1" x14ac:dyDescent="0.3">
      <c r="A86" s="57" t="s">
        <v>321</v>
      </c>
      <c r="B86" s="30" t="s">
        <v>322</v>
      </c>
      <c r="C86" s="30">
        <v>1500</v>
      </c>
      <c r="D86" s="103" t="s">
        <v>323</v>
      </c>
      <c r="E86" s="103" t="s">
        <v>140</v>
      </c>
      <c r="F86" s="103"/>
      <c r="G86" s="27" t="s">
        <v>42</v>
      </c>
      <c r="H86" s="77"/>
      <c r="I86" s="119" t="s">
        <v>582</v>
      </c>
      <c r="J86" s="115" t="s">
        <v>324</v>
      </c>
      <c r="K86" s="19">
        <v>8</v>
      </c>
      <c r="L86" s="20" t="e">
        <f>PROPER(#REF!)</f>
        <v>#REF!</v>
      </c>
      <c r="M86" s="20" t="e">
        <f>PROPER(#REF!)</f>
        <v>#REF!</v>
      </c>
      <c r="N86" s="20" t="e">
        <f>PROPER(#REF!)</f>
        <v>#REF!</v>
      </c>
    </row>
    <row r="87" spans="1:14" ht="20.100000000000001" customHeight="1" x14ac:dyDescent="0.3">
      <c r="A87" s="58" t="str">
        <f t="shared" ref="A87:C88" si="29">A86</f>
        <v>EM.0073</v>
      </c>
      <c r="B87" s="47" t="str">
        <f t="shared" si="29"/>
        <v>2.2 / 3</v>
      </c>
      <c r="C87" s="47">
        <f t="shared" si="29"/>
        <v>1500</v>
      </c>
      <c r="D87" s="103"/>
      <c r="E87" s="116" t="s">
        <v>325</v>
      </c>
      <c r="F87" s="103"/>
      <c r="G87" s="27"/>
      <c r="H87" s="77"/>
      <c r="I87" s="119" t="s">
        <v>582</v>
      </c>
      <c r="J87" s="117"/>
      <c r="K87" s="19"/>
      <c r="L87" s="20" t="str">
        <f t="shared" ref="L87:N88" si="30">PROPER(D82)</f>
        <v>22 April 2022</v>
      </c>
      <c r="M87" s="20" t="str">
        <f t="shared" si="30"/>
        <v>18 Mei 2022</v>
      </c>
      <c r="N87" s="20" t="str">
        <f t="shared" si="30"/>
        <v xml:space="preserve">09 Juni 2022                  </v>
      </c>
    </row>
    <row r="88" spans="1:14" ht="20.100000000000001" customHeight="1" x14ac:dyDescent="0.3">
      <c r="A88" s="91" t="str">
        <f t="shared" si="29"/>
        <v>EM.0073</v>
      </c>
      <c r="B88" s="23" t="str">
        <f t="shared" si="29"/>
        <v>2.2 / 3</v>
      </c>
      <c r="C88" s="23">
        <f t="shared" si="29"/>
        <v>1500</v>
      </c>
      <c r="D88" s="103" t="s">
        <v>232</v>
      </c>
      <c r="E88" s="103" t="s">
        <v>111</v>
      </c>
      <c r="F88" s="103" t="s">
        <v>112</v>
      </c>
      <c r="G88" s="27" t="s">
        <v>16</v>
      </c>
      <c r="H88" s="77"/>
      <c r="I88" s="119" t="s">
        <v>582</v>
      </c>
      <c r="J88" s="118" t="s">
        <v>326</v>
      </c>
      <c r="K88" s="19"/>
      <c r="L88" s="20" t="str">
        <f t="shared" si="30"/>
        <v>2 September 2022</v>
      </c>
      <c r="M88" s="20" t="str">
        <f t="shared" si="30"/>
        <v>22 September 2022</v>
      </c>
      <c r="N88" s="20" t="str">
        <f t="shared" si="30"/>
        <v/>
      </c>
    </row>
    <row r="89" spans="1:14" ht="20.100000000000001" customHeight="1" x14ac:dyDescent="0.3">
      <c r="A89" s="57" t="s">
        <v>335</v>
      </c>
      <c r="B89" s="30" t="s">
        <v>115</v>
      </c>
      <c r="C89" s="30">
        <v>1500</v>
      </c>
      <c r="D89" s="103" t="s">
        <v>336</v>
      </c>
      <c r="E89" s="103" t="s">
        <v>330</v>
      </c>
      <c r="F89" s="103"/>
      <c r="G89" s="38" t="s">
        <v>16</v>
      </c>
      <c r="H89" s="77"/>
      <c r="I89" s="77"/>
      <c r="J89" s="77"/>
      <c r="K89" s="19">
        <v>8</v>
      </c>
      <c r="L89" s="20" t="e">
        <f>PROPER(#REF!)</f>
        <v>#REF!</v>
      </c>
      <c r="M89" s="20" t="e">
        <f>PROPER(#REF!)</f>
        <v>#REF!</v>
      </c>
      <c r="N89" s="20" t="e">
        <f>PROPER(#REF!)</f>
        <v>#REF!</v>
      </c>
    </row>
    <row r="90" spans="1:14" ht="20.100000000000001" customHeight="1" x14ac:dyDescent="0.3">
      <c r="A90" s="58" t="str">
        <f t="shared" ref="A90:C91" si="31">A89</f>
        <v>EM.0078</v>
      </c>
      <c r="B90" s="47" t="str">
        <f t="shared" si="31"/>
        <v>2.2</v>
      </c>
      <c r="C90" s="47">
        <f t="shared" si="31"/>
        <v>1500</v>
      </c>
      <c r="D90" s="103" t="s">
        <v>337</v>
      </c>
      <c r="E90" s="103" t="s">
        <v>338</v>
      </c>
      <c r="F90" s="103" t="s">
        <v>339</v>
      </c>
      <c r="G90" s="38" t="s">
        <v>340</v>
      </c>
      <c r="H90" s="77"/>
      <c r="I90" s="77"/>
      <c r="J90" s="77"/>
      <c r="K90" s="19"/>
      <c r="L90" s="20" t="e">
        <f>PROPER(#REF!)</f>
        <v>#REF!</v>
      </c>
      <c r="M90" s="20" t="e">
        <f>PROPER(#REF!)</f>
        <v>#REF!</v>
      </c>
      <c r="N90" s="20" t="e">
        <f>PROPER(#REF!)</f>
        <v>#REF!</v>
      </c>
    </row>
    <row r="91" spans="1:14" ht="20.100000000000001" customHeight="1" x14ac:dyDescent="0.3">
      <c r="A91" s="91" t="str">
        <f t="shared" si="31"/>
        <v>EM.0078</v>
      </c>
      <c r="B91" s="23" t="str">
        <f t="shared" si="31"/>
        <v>2.2</v>
      </c>
      <c r="C91" s="23">
        <f t="shared" si="31"/>
        <v>1500</v>
      </c>
      <c r="D91" s="103" t="s">
        <v>130</v>
      </c>
      <c r="E91" s="103" t="s">
        <v>41</v>
      </c>
      <c r="F91" s="103"/>
      <c r="G91" s="38" t="s">
        <v>42</v>
      </c>
      <c r="H91" s="77"/>
      <c r="I91" s="77"/>
      <c r="J91" s="77"/>
      <c r="K91" s="19"/>
      <c r="L91" s="20" t="e">
        <f>PROPER(#REF!)</f>
        <v>#REF!</v>
      </c>
      <c r="M91" s="20" t="e">
        <f>PROPER(#REF!)</f>
        <v>#REF!</v>
      </c>
      <c r="N91" s="20" t="e">
        <f>PROPER(#REF!)</f>
        <v>#REF!</v>
      </c>
    </row>
    <row r="92" spans="1:14" ht="20.100000000000001" customHeight="1" x14ac:dyDescent="0.3">
      <c r="A92" s="57" t="s">
        <v>355</v>
      </c>
      <c r="B92" s="30">
        <v>4</v>
      </c>
      <c r="C92" s="30">
        <v>1500</v>
      </c>
      <c r="D92" s="103" t="s">
        <v>348</v>
      </c>
      <c r="E92" s="103" t="s">
        <v>181</v>
      </c>
      <c r="F92" s="99"/>
      <c r="G92" s="89" t="s">
        <v>42</v>
      </c>
      <c r="H92" s="97"/>
      <c r="I92" s="89" t="s">
        <v>583</v>
      </c>
      <c r="J92" s="97"/>
      <c r="K92" s="19"/>
      <c r="L92" s="20" t="e">
        <f>PROPER(#REF!)</f>
        <v>#REF!</v>
      </c>
      <c r="M92" s="20" t="e">
        <f>PROPER(#REF!)</f>
        <v>#REF!</v>
      </c>
      <c r="N92" s="20" t="e">
        <f>PROPER(#REF!)</f>
        <v>#REF!</v>
      </c>
    </row>
    <row r="93" spans="1:14" ht="20.100000000000001" customHeight="1" x14ac:dyDescent="0.3">
      <c r="A93" s="58" t="str">
        <f t="shared" ref="A93:C94" si="32">A92</f>
        <v>EM.0086</v>
      </c>
      <c r="B93" s="47">
        <f t="shared" si="32"/>
        <v>4</v>
      </c>
      <c r="C93" s="47">
        <f t="shared" si="32"/>
        <v>1500</v>
      </c>
      <c r="D93" s="103" t="s">
        <v>349</v>
      </c>
      <c r="E93" s="103" t="s">
        <v>84</v>
      </c>
      <c r="F93" s="103" t="s">
        <v>349</v>
      </c>
      <c r="G93" s="27" t="s">
        <v>42</v>
      </c>
      <c r="H93" s="77"/>
      <c r="I93" s="27" t="s">
        <v>583</v>
      </c>
      <c r="J93" s="77"/>
      <c r="K93" s="19"/>
      <c r="L93" s="20" t="e">
        <f>PROPER(#REF!)</f>
        <v>#REF!</v>
      </c>
      <c r="M93" s="20" t="e">
        <f>PROPER(#REF!)</f>
        <v>#REF!</v>
      </c>
      <c r="N93" s="20" t="e">
        <f>PROPER(#REF!)</f>
        <v>#REF!</v>
      </c>
    </row>
    <row r="94" spans="1:14" ht="20.100000000000001" customHeight="1" x14ac:dyDescent="0.3">
      <c r="A94" s="91" t="str">
        <f t="shared" si="32"/>
        <v>EM.0086</v>
      </c>
      <c r="B94" s="23">
        <f t="shared" si="32"/>
        <v>4</v>
      </c>
      <c r="C94" s="23">
        <f t="shared" si="32"/>
        <v>1500</v>
      </c>
      <c r="D94" s="103" t="s">
        <v>141</v>
      </c>
      <c r="E94" s="103" t="s">
        <v>83</v>
      </c>
      <c r="F94" s="103" t="s">
        <v>142</v>
      </c>
      <c r="G94" s="38" t="s">
        <v>16</v>
      </c>
      <c r="H94" s="77"/>
      <c r="I94" s="27" t="s">
        <v>583</v>
      </c>
      <c r="J94" s="77"/>
      <c r="K94" s="19"/>
      <c r="L94" s="20" t="e">
        <f>PROPER(#REF!)</f>
        <v>#REF!</v>
      </c>
      <c r="M94" s="20" t="e">
        <f>PROPER(#REF!)</f>
        <v>#REF!</v>
      </c>
      <c r="N94" s="20" t="e">
        <f>PROPER(#REF!)</f>
        <v>#REF!</v>
      </c>
    </row>
    <row r="95" spans="1:14" ht="20.100000000000001" customHeight="1" x14ac:dyDescent="0.3">
      <c r="A95" s="57" t="s">
        <v>363</v>
      </c>
      <c r="B95" s="30">
        <v>55</v>
      </c>
      <c r="C95" s="30">
        <v>1500</v>
      </c>
      <c r="D95" s="103" t="s">
        <v>300</v>
      </c>
      <c r="E95" s="103" t="s">
        <v>301</v>
      </c>
      <c r="F95" s="99"/>
      <c r="G95" s="96" t="s">
        <v>16</v>
      </c>
      <c r="H95" s="97"/>
      <c r="I95" s="120" t="s">
        <v>364</v>
      </c>
      <c r="J95" s="97"/>
      <c r="K95" s="19"/>
      <c r="L95" s="20" t="e">
        <f>PROPER(#REF!)</f>
        <v>#REF!</v>
      </c>
      <c r="M95" s="20" t="e">
        <f>PROPER(#REF!)</f>
        <v>#REF!</v>
      </c>
      <c r="N95" s="20" t="e">
        <f>PROPER(#REF!)</f>
        <v>#REF!</v>
      </c>
    </row>
    <row r="96" spans="1:14" ht="20.100000000000001" customHeight="1" x14ac:dyDescent="0.3">
      <c r="A96" s="58" t="str">
        <f t="shared" ref="A96:C96" si="33">A95</f>
        <v>EM.0091</v>
      </c>
      <c r="B96" s="47">
        <f t="shared" si="33"/>
        <v>55</v>
      </c>
      <c r="C96" s="47">
        <f t="shared" si="33"/>
        <v>1500</v>
      </c>
      <c r="D96" s="103" t="s">
        <v>224</v>
      </c>
      <c r="E96" s="103" t="s">
        <v>225</v>
      </c>
      <c r="F96" s="103" t="s">
        <v>226</v>
      </c>
      <c r="G96" s="38" t="s">
        <v>58</v>
      </c>
      <c r="H96" s="77"/>
      <c r="I96" s="120" t="s">
        <v>364</v>
      </c>
      <c r="J96" s="77"/>
      <c r="K96" s="19"/>
      <c r="L96" s="20" t="e">
        <f>PROPER(#REF!)</f>
        <v>#REF!</v>
      </c>
      <c r="M96" s="20" t="e">
        <f>PROPER(#REF!)</f>
        <v>#REF!</v>
      </c>
      <c r="N96" s="20" t="e">
        <f>PROPER(#REF!)</f>
        <v>#REF!</v>
      </c>
    </row>
    <row r="97" spans="1:14" ht="20.100000000000001" customHeight="1" x14ac:dyDescent="0.3">
      <c r="A97" s="91" t="str">
        <f>A96</f>
        <v>EM.0091</v>
      </c>
      <c r="B97" s="23">
        <f>B96</f>
        <v>55</v>
      </c>
      <c r="C97" s="23">
        <f>C96</f>
        <v>1500</v>
      </c>
      <c r="D97" s="103">
        <v>45296</v>
      </c>
      <c r="E97" s="103">
        <v>45306</v>
      </c>
      <c r="F97" s="103">
        <v>45321</v>
      </c>
      <c r="G97" s="38" t="s">
        <v>58</v>
      </c>
      <c r="H97" s="77"/>
      <c r="I97" s="120" t="s">
        <v>364</v>
      </c>
      <c r="J97" s="77"/>
      <c r="K97" s="19"/>
      <c r="L97" s="20" t="e">
        <f>PROPER(#REF!)</f>
        <v>#REF!</v>
      </c>
      <c r="M97" s="20" t="e">
        <f>PROPER(#REF!)</f>
        <v>#REF!</v>
      </c>
      <c r="N97" s="20" t="e">
        <f>PROPER(#REF!)</f>
        <v>#REF!</v>
      </c>
    </row>
    <row r="98" spans="1:14" ht="20.100000000000001" customHeight="1" x14ac:dyDescent="0.3">
      <c r="A98" s="225"/>
      <c r="B98" s="226"/>
      <c r="C98" s="226"/>
      <c r="D98" s="227"/>
      <c r="E98" s="227"/>
      <c r="F98" s="227"/>
      <c r="G98" s="228"/>
      <c r="H98" s="229"/>
      <c r="I98" s="230"/>
      <c r="J98" s="229"/>
      <c r="K98" s="19"/>
      <c r="L98" s="20"/>
      <c r="M98" s="20"/>
      <c r="N98" s="20"/>
    </row>
    <row r="99" spans="1:14" ht="16.5" x14ac:dyDescent="0.3">
      <c r="A99" s="224" t="s">
        <v>303</v>
      </c>
      <c r="B99" s="8" t="s">
        <v>60</v>
      </c>
      <c r="C99" s="8">
        <v>1500</v>
      </c>
      <c r="D99" s="9" t="s">
        <v>299</v>
      </c>
      <c r="E99" s="9" t="s">
        <v>139</v>
      </c>
      <c r="F99" s="9" t="s">
        <v>108</v>
      </c>
      <c r="G99" s="10" t="s">
        <v>16</v>
      </c>
      <c r="H99" s="10"/>
      <c r="I99" s="10"/>
      <c r="J99" s="218"/>
      <c r="K99" s="7"/>
      <c r="L99" s="20" t="e">
        <f>PROPER(#REF!)</f>
        <v>#REF!</v>
      </c>
      <c r="M99" s="20" t="e">
        <f>PROPER(#REF!)</f>
        <v>#REF!</v>
      </c>
      <c r="N99" s="20" t="e">
        <f>PROPER(#REF!)</f>
        <v>#REF!</v>
      </c>
    </row>
    <row r="100" spans="1:14" ht="16.5" x14ac:dyDescent="0.3">
      <c r="A100" s="224" t="s">
        <v>303</v>
      </c>
      <c r="B100" s="8" t="s">
        <v>30</v>
      </c>
      <c r="C100" s="8">
        <v>1500</v>
      </c>
      <c r="D100" s="9">
        <v>45283</v>
      </c>
      <c r="E100" s="9">
        <v>45651</v>
      </c>
      <c r="F100" s="9">
        <v>45314</v>
      </c>
      <c r="G100" s="10" t="s">
        <v>58</v>
      </c>
      <c r="H100" s="10"/>
      <c r="I100" s="10" t="s">
        <v>304</v>
      </c>
      <c r="J100" s="218"/>
      <c r="K100" s="7"/>
      <c r="L100" s="20" t="e">
        <f>PROPER(#REF!)</f>
        <v>#REF!</v>
      </c>
      <c r="M100" s="20" t="e">
        <f>PROPER(#REF!)</f>
        <v>#REF!</v>
      </c>
      <c r="N100" s="20" t="e">
        <f>PROPER(#REF!)</f>
        <v>#REF!</v>
      </c>
    </row>
    <row r="101" spans="1:14" ht="16.5" x14ac:dyDescent="0.3">
      <c r="A101" s="224" t="s">
        <v>303</v>
      </c>
      <c r="B101" s="8" t="s">
        <v>30</v>
      </c>
      <c r="C101" s="8">
        <v>1500</v>
      </c>
      <c r="D101" s="9">
        <v>45588</v>
      </c>
      <c r="E101" s="9">
        <v>45588</v>
      </c>
      <c r="F101" s="9">
        <v>45614</v>
      </c>
      <c r="G101" s="10" t="s">
        <v>58</v>
      </c>
      <c r="H101" s="10"/>
      <c r="I101" s="10" t="s">
        <v>659</v>
      </c>
      <c r="J101" s="219" t="s">
        <v>672</v>
      </c>
      <c r="K101" s="7"/>
      <c r="L101" s="20" t="e">
        <f>PROPER(#REF!)</f>
        <v>#REF!</v>
      </c>
      <c r="M101" s="20" t="e">
        <f>PROPER(#REF!)</f>
        <v>#REF!</v>
      </c>
      <c r="N101" s="20" t="e">
        <f>PROPER(#REF!)</f>
        <v>#REF!</v>
      </c>
    </row>
    <row r="102" spans="1:14" ht="16.5" x14ac:dyDescent="0.3">
      <c r="A102" s="224" t="s">
        <v>303</v>
      </c>
      <c r="B102" s="8" t="s">
        <v>60</v>
      </c>
      <c r="C102" s="8">
        <v>1500</v>
      </c>
      <c r="D102" s="9"/>
      <c r="E102" s="9">
        <v>45674</v>
      </c>
      <c r="F102" s="9">
        <v>45708</v>
      </c>
      <c r="G102" s="10" t="s">
        <v>58</v>
      </c>
      <c r="H102" s="10"/>
      <c r="I102" s="10" t="s">
        <v>671</v>
      </c>
      <c r="J102" s="218"/>
      <c r="K102" s="7"/>
      <c r="L102" s="20" t="e">
        <f>PROPER(#REF!)</f>
        <v>#REF!</v>
      </c>
      <c r="M102" s="20" t="e">
        <f>PROPER(#REF!)</f>
        <v>#REF!</v>
      </c>
      <c r="N102" s="20" t="e">
        <f>PROPER(#REF!)</f>
        <v>#REF!</v>
      </c>
    </row>
    <row r="103" spans="1:14" ht="16.5" x14ac:dyDescent="0.3">
      <c r="A103" s="204" t="s">
        <v>321</v>
      </c>
      <c r="B103" s="202" t="s">
        <v>322</v>
      </c>
      <c r="C103" s="202">
        <v>1500</v>
      </c>
      <c r="D103" s="181" t="s">
        <v>323</v>
      </c>
      <c r="E103" s="181" t="s">
        <v>140</v>
      </c>
      <c r="F103" s="181"/>
      <c r="G103" s="171" t="s">
        <v>42</v>
      </c>
      <c r="H103" s="182"/>
      <c r="I103" s="182" t="s">
        <v>582</v>
      </c>
      <c r="J103" s="179"/>
      <c r="K103" s="7"/>
      <c r="L103" s="20" t="e">
        <f>PROPER(#REF!)</f>
        <v>#REF!</v>
      </c>
      <c r="M103" s="20" t="e">
        <f>PROPER(#REF!)</f>
        <v>#REF!</v>
      </c>
      <c r="N103" s="20" t="e">
        <f>PROPER(#REF!)</f>
        <v>#REF!</v>
      </c>
    </row>
    <row r="104" spans="1:14" ht="16.5" x14ac:dyDescent="0.3">
      <c r="A104" s="204" t="str">
        <f t="shared" ref="A104:C106" si="34">A103</f>
        <v>EM.0073</v>
      </c>
      <c r="B104" s="202" t="str">
        <f t="shared" si="34"/>
        <v>2.2 / 3</v>
      </c>
      <c r="C104" s="202">
        <f t="shared" si="34"/>
        <v>1500</v>
      </c>
      <c r="D104" s="181"/>
      <c r="E104" s="211" t="s">
        <v>325</v>
      </c>
      <c r="F104" s="181"/>
      <c r="G104" s="171"/>
      <c r="H104" s="182"/>
      <c r="I104" s="182" t="s">
        <v>582</v>
      </c>
      <c r="J104" s="179"/>
      <c r="K104" s="7"/>
      <c r="L104" s="20" t="e">
        <f>PROPER(#REF!)</f>
        <v>#REF!</v>
      </c>
      <c r="M104" s="20" t="e">
        <f>PROPER(#REF!)</f>
        <v>#REF!</v>
      </c>
      <c r="N104" s="20" t="e">
        <f>PROPER(#REF!)</f>
        <v>#REF!</v>
      </c>
    </row>
    <row r="105" spans="1:14" ht="16.5" x14ac:dyDescent="0.3">
      <c r="A105" s="204" t="str">
        <f t="shared" si="34"/>
        <v>EM.0073</v>
      </c>
      <c r="B105" s="202" t="str">
        <f t="shared" si="34"/>
        <v>2.2 / 3</v>
      </c>
      <c r="C105" s="202">
        <f t="shared" si="34"/>
        <v>1500</v>
      </c>
      <c r="D105" s="181" t="s">
        <v>232</v>
      </c>
      <c r="E105" s="181" t="s">
        <v>111</v>
      </c>
      <c r="F105" s="181" t="s">
        <v>112</v>
      </c>
      <c r="G105" s="171" t="s">
        <v>16</v>
      </c>
      <c r="H105" s="182"/>
      <c r="I105" s="182" t="s">
        <v>582</v>
      </c>
      <c r="J105" s="212"/>
      <c r="K105" s="7"/>
      <c r="L105" s="20" t="e">
        <f>PROPER(#REF!)</f>
        <v>#REF!</v>
      </c>
      <c r="M105" s="20" t="e">
        <f>PROPER(#REF!)</f>
        <v>#REF!</v>
      </c>
      <c r="N105" s="20" t="e">
        <f>PROPER(#REF!)</f>
        <v>#REF!</v>
      </c>
    </row>
    <row r="106" spans="1:14" ht="16.5" x14ac:dyDescent="0.3">
      <c r="A106" s="204" t="str">
        <f t="shared" si="34"/>
        <v>EM.0073</v>
      </c>
      <c r="B106" s="202" t="str">
        <f t="shared" si="34"/>
        <v>2.2 / 3</v>
      </c>
      <c r="C106" s="202">
        <f t="shared" si="34"/>
        <v>1500</v>
      </c>
      <c r="D106" s="181"/>
      <c r="E106" s="181">
        <v>45708</v>
      </c>
      <c r="F106" s="181"/>
      <c r="G106" s="171" t="s">
        <v>16</v>
      </c>
      <c r="H106" s="182"/>
      <c r="I106" s="182" t="s">
        <v>684</v>
      </c>
      <c r="J106" s="212"/>
      <c r="K106" s="7"/>
      <c r="L106" s="20" t="e">
        <f>PROPER(#REF!)</f>
        <v>#REF!</v>
      </c>
      <c r="M106" s="20" t="e">
        <f>PROPER(#REF!)</f>
        <v>#REF!</v>
      </c>
      <c r="N106" s="20" t="e">
        <f>PROPER(#REF!)</f>
        <v>#REF!</v>
      </c>
    </row>
    <row r="107" spans="1:14" ht="16.5" x14ac:dyDescent="0.3">
      <c r="A107" s="222" t="s">
        <v>221</v>
      </c>
      <c r="B107" s="213" t="s">
        <v>115</v>
      </c>
      <c r="C107" s="202">
        <v>1500</v>
      </c>
      <c r="D107" s="170" t="s">
        <v>222</v>
      </c>
      <c r="E107" s="170" t="s">
        <v>198</v>
      </c>
      <c r="F107" s="170" t="s">
        <v>199</v>
      </c>
      <c r="G107" s="171" t="s">
        <v>16</v>
      </c>
      <c r="H107" s="171"/>
      <c r="I107" s="171" t="s">
        <v>559</v>
      </c>
      <c r="J107" s="172"/>
      <c r="K107" s="7"/>
      <c r="L107" s="20" t="e">
        <f>PROPER(#REF!)</f>
        <v>#REF!</v>
      </c>
      <c r="M107" s="20" t="e">
        <f>PROPER(#REF!)</f>
        <v>#REF!</v>
      </c>
      <c r="N107" s="20" t="e">
        <f>PROPER(#REF!)</f>
        <v>#REF!</v>
      </c>
    </row>
    <row r="108" spans="1:14" ht="16.5" x14ac:dyDescent="0.3">
      <c r="A108" s="222" t="str">
        <f t="shared" ref="A108:C108" si="35">A107</f>
        <v>EM.0039</v>
      </c>
      <c r="B108" s="213" t="str">
        <f t="shared" si="35"/>
        <v>2.2</v>
      </c>
      <c r="C108" s="202">
        <f t="shared" si="35"/>
        <v>1500</v>
      </c>
      <c r="D108" s="173" t="s">
        <v>223</v>
      </c>
      <c r="E108" s="170" t="s">
        <v>111</v>
      </c>
      <c r="F108" s="170" t="s">
        <v>213</v>
      </c>
      <c r="G108" s="171" t="s">
        <v>16</v>
      </c>
      <c r="H108" s="171"/>
      <c r="I108" s="171" t="s">
        <v>559</v>
      </c>
      <c r="J108" s="172"/>
      <c r="K108" s="7"/>
      <c r="L108" s="20" t="e">
        <f>PROPER(#REF!)</f>
        <v>#REF!</v>
      </c>
      <c r="M108" s="20" t="e">
        <f>PROPER(#REF!)</f>
        <v>#REF!</v>
      </c>
      <c r="N108" s="20" t="e">
        <f>PROPER(#REF!)</f>
        <v>#REF!</v>
      </c>
    </row>
    <row r="109" spans="1:14" ht="16.5" x14ac:dyDescent="0.3">
      <c r="A109" s="222" t="s">
        <v>221</v>
      </c>
      <c r="B109" s="213" t="s">
        <v>115</v>
      </c>
      <c r="C109" s="202">
        <v>1500</v>
      </c>
      <c r="D109" s="173" t="s">
        <v>224</v>
      </c>
      <c r="E109" s="170" t="s">
        <v>225</v>
      </c>
      <c r="F109" s="170" t="s">
        <v>226</v>
      </c>
      <c r="G109" s="171" t="s">
        <v>58</v>
      </c>
      <c r="H109" s="171"/>
      <c r="I109" s="171" t="s">
        <v>559</v>
      </c>
      <c r="J109" s="172"/>
      <c r="K109" s="7"/>
      <c r="L109" s="20" t="e">
        <f>PROPER(#REF!)</f>
        <v>#REF!</v>
      </c>
      <c r="M109" s="20" t="e">
        <f>PROPER(#REF!)</f>
        <v>#REF!</v>
      </c>
      <c r="N109" s="20" t="e">
        <f>PROPER(#REF!)</f>
        <v>#REF!</v>
      </c>
    </row>
    <row r="110" spans="1:14" ht="16.5" x14ac:dyDescent="0.3">
      <c r="A110" s="222" t="str">
        <f t="shared" ref="A110:C111" si="36">A108</f>
        <v>EM.0039</v>
      </c>
      <c r="B110" s="213" t="str">
        <f t="shared" si="36"/>
        <v>2.2</v>
      </c>
      <c r="C110" s="202">
        <f t="shared" si="36"/>
        <v>1500</v>
      </c>
      <c r="D110" s="173">
        <v>45399</v>
      </c>
      <c r="E110" s="173">
        <v>45399</v>
      </c>
      <c r="F110" s="170">
        <v>45422</v>
      </c>
      <c r="G110" s="182" t="s">
        <v>58</v>
      </c>
      <c r="H110" s="171"/>
      <c r="I110" s="171" t="s">
        <v>559</v>
      </c>
      <c r="J110" s="172"/>
      <c r="L110" s="20" t="e">
        <f>PROPER(#REF!)</f>
        <v>#REF!</v>
      </c>
      <c r="M110" s="20" t="e">
        <f>PROPER(#REF!)</f>
        <v>#REF!</v>
      </c>
      <c r="N110" s="20" t="e">
        <f>PROPER(#REF!)</f>
        <v>#REF!</v>
      </c>
    </row>
    <row r="111" spans="1:14" ht="16.5" x14ac:dyDescent="0.3">
      <c r="A111" s="222" t="str">
        <f t="shared" si="36"/>
        <v>EM.0039</v>
      </c>
      <c r="B111" s="213" t="str">
        <f t="shared" si="36"/>
        <v>2.2</v>
      </c>
      <c r="C111" s="202">
        <f t="shared" si="36"/>
        <v>1500</v>
      </c>
      <c r="D111" s="173"/>
      <c r="E111" s="173">
        <v>45708</v>
      </c>
      <c r="F111" s="170"/>
      <c r="G111" s="182" t="s">
        <v>58</v>
      </c>
      <c r="H111" s="171"/>
      <c r="I111" s="171" t="s">
        <v>683</v>
      </c>
      <c r="J111" s="172"/>
      <c r="L111" s="20" t="e">
        <f>PROPER(#REF!)</f>
        <v>#REF!</v>
      </c>
      <c r="M111" s="20" t="e">
        <f>PROPER(#REF!)</f>
        <v>#REF!</v>
      </c>
      <c r="N111" s="20" t="e">
        <f>PROPER(#REF!)</f>
        <v>#REF!</v>
      </c>
    </row>
    <row r="112" spans="1:14" x14ac:dyDescent="0.25">
      <c r="A112" s="204" t="s">
        <v>237</v>
      </c>
      <c r="B112" s="214">
        <v>3</v>
      </c>
      <c r="C112" s="202">
        <v>1500</v>
      </c>
      <c r="D112" s="173" t="s">
        <v>83</v>
      </c>
      <c r="E112" s="173" t="s">
        <v>81</v>
      </c>
      <c r="F112" s="170" t="s">
        <v>82</v>
      </c>
      <c r="G112" s="171" t="s">
        <v>42</v>
      </c>
      <c r="H112" s="171"/>
      <c r="I112" s="171" t="s">
        <v>238</v>
      </c>
    </row>
    <row r="113" spans="1:10" x14ac:dyDescent="0.25">
      <c r="A113" s="204" t="str">
        <f t="shared" ref="A113:C115" si="37">A112</f>
        <v>EM.0043</v>
      </c>
      <c r="B113" s="214">
        <f t="shared" si="37"/>
        <v>3</v>
      </c>
      <c r="C113" s="202">
        <f t="shared" si="37"/>
        <v>1500</v>
      </c>
      <c r="D113" s="173" t="s">
        <v>194</v>
      </c>
      <c r="E113" s="173" t="s">
        <v>83</v>
      </c>
      <c r="F113" s="173" t="s">
        <v>83</v>
      </c>
      <c r="G113" s="215" t="s">
        <v>83</v>
      </c>
      <c r="H113" s="171"/>
      <c r="I113" s="171" t="s">
        <v>238</v>
      </c>
    </row>
    <row r="114" spans="1:10" x14ac:dyDescent="0.25">
      <c r="A114" s="204" t="str">
        <f t="shared" si="37"/>
        <v>EM.0043</v>
      </c>
      <c r="B114" s="214">
        <f t="shared" si="37"/>
        <v>3</v>
      </c>
      <c r="C114" s="202">
        <f t="shared" si="37"/>
        <v>1500</v>
      </c>
      <c r="D114" s="173">
        <v>45341</v>
      </c>
      <c r="E114" s="173">
        <v>45342</v>
      </c>
      <c r="F114" s="173">
        <v>45365</v>
      </c>
      <c r="G114" s="182" t="s">
        <v>58</v>
      </c>
      <c r="H114" s="171"/>
      <c r="I114" s="216" t="s">
        <v>238</v>
      </c>
    </row>
    <row r="115" spans="1:10" x14ac:dyDescent="0.25">
      <c r="A115" s="204" t="str">
        <f t="shared" si="37"/>
        <v>EM.0043</v>
      </c>
      <c r="B115" s="214">
        <f t="shared" si="37"/>
        <v>3</v>
      </c>
      <c r="C115" s="202">
        <f t="shared" si="37"/>
        <v>1500</v>
      </c>
      <c r="D115" s="173"/>
      <c r="E115" s="173">
        <v>45674</v>
      </c>
      <c r="F115" s="173">
        <v>45708</v>
      </c>
      <c r="G115" s="182" t="s">
        <v>58</v>
      </c>
      <c r="H115" s="171"/>
      <c r="I115" s="217" t="s">
        <v>678</v>
      </c>
    </row>
    <row r="116" spans="1:10" x14ac:dyDescent="0.25">
      <c r="A116" s="221" t="s">
        <v>358</v>
      </c>
      <c r="B116" s="202" t="s">
        <v>115</v>
      </c>
      <c r="C116" s="202">
        <v>1500</v>
      </c>
      <c r="D116" s="181" t="s">
        <v>359</v>
      </c>
      <c r="E116" s="181" t="s">
        <v>360</v>
      </c>
      <c r="F116" s="181" t="s">
        <v>83</v>
      </c>
      <c r="G116" s="182" t="s">
        <v>51</v>
      </c>
      <c r="H116" s="182" t="s">
        <v>83</v>
      </c>
      <c r="I116" s="182"/>
      <c r="J116" s="174"/>
    </row>
    <row r="117" spans="1:10" x14ac:dyDescent="0.25">
      <c r="A117" s="221" t="str">
        <f>A116</f>
        <v>EM.0089</v>
      </c>
      <c r="B117" s="202" t="str">
        <f t="shared" ref="B117:C118" si="38">B116</f>
        <v>2.2</v>
      </c>
      <c r="C117" s="202">
        <f t="shared" si="38"/>
        <v>1500</v>
      </c>
      <c r="D117" s="181" t="s">
        <v>83</v>
      </c>
      <c r="E117" s="181" t="s">
        <v>84</v>
      </c>
      <c r="F117" s="181" t="s">
        <v>232</v>
      </c>
      <c r="G117" s="171" t="s">
        <v>16</v>
      </c>
      <c r="H117" s="189" t="s">
        <v>296</v>
      </c>
      <c r="I117" s="189"/>
      <c r="J117" s="174"/>
    </row>
    <row r="118" spans="1:10" x14ac:dyDescent="0.25">
      <c r="A118" s="221" t="str">
        <f>A117</f>
        <v>EM.0089</v>
      </c>
      <c r="B118" s="202" t="str">
        <f t="shared" si="38"/>
        <v>2.2</v>
      </c>
      <c r="C118" s="202">
        <f t="shared" si="38"/>
        <v>1500</v>
      </c>
      <c r="D118" s="181" t="s">
        <v>83</v>
      </c>
      <c r="E118" s="181">
        <v>45674</v>
      </c>
      <c r="F118" s="181">
        <v>45708</v>
      </c>
      <c r="G118" s="182" t="s">
        <v>58</v>
      </c>
      <c r="H118" s="189"/>
      <c r="I118" s="220" t="s">
        <v>579</v>
      </c>
      <c r="J118" s="174"/>
    </row>
    <row r="119" spans="1:10" x14ac:dyDescent="0.25">
      <c r="A119" s="222" t="s">
        <v>132</v>
      </c>
      <c r="B119" s="202">
        <v>4</v>
      </c>
      <c r="C119" s="202">
        <v>1500</v>
      </c>
      <c r="D119" s="173" t="s">
        <v>133</v>
      </c>
      <c r="E119" s="173" t="s">
        <v>98</v>
      </c>
      <c r="F119" s="170" t="s">
        <v>99</v>
      </c>
      <c r="G119" s="171" t="s">
        <v>16</v>
      </c>
      <c r="H119" s="171" t="s">
        <v>134</v>
      </c>
      <c r="I119" s="171"/>
      <c r="J119" s="223"/>
    </row>
    <row r="120" spans="1:10" x14ac:dyDescent="0.25">
      <c r="A120" s="222" t="str">
        <f>A119</f>
        <v>EM.0022</v>
      </c>
      <c r="B120" s="202">
        <f t="shared" ref="B120:C123" si="39">B119</f>
        <v>4</v>
      </c>
      <c r="C120" s="202">
        <f t="shared" si="39"/>
        <v>1500</v>
      </c>
      <c r="D120" s="170" t="s">
        <v>69</v>
      </c>
      <c r="E120" s="173" t="s">
        <v>71</v>
      </c>
      <c r="F120" s="173" t="s">
        <v>72</v>
      </c>
      <c r="G120" s="171" t="s">
        <v>16</v>
      </c>
      <c r="H120" s="173" t="s">
        <v>136</v>
      </c>
      <c r="I120" s="173"/>
      <c r="J120" s="223"/>
    </row>
    <row r="121" spans="1:10" x14ac:dyDescent="0.25">
      <c r="A121" s="222" t="str">
        <f t="shared" ref="A121:A123" si="40">A120</f>
        <v>EM.0022</v>
      </c>
      <c r="B121" s="202">
        <f t="shared" si="39"/>
        <v>4</v>
      </c>
      <c r="C121" s="202">
        <f t="shared" si="39"/>
        <v>1500</v>
      </c>
      <c r="D121" s="170" t="s">
        <v>138</v>
      </c>
      <c r="E121" s="170" t="s">
        <v>139</v>
      </c>
      <c r="F121" s="173" t="s">
        <v>108</v>
      </c>
      <c r="G121" s="171" t="s">
        <v>16</v>
      </c>
      <c r="H121" s="171" t="s">
        <v>140</v>
      </c>
      <c r="I121" s="171"/>
      <c r="J121" s="172"/>
    </row>
    <row r="122" spans="1:10" x14ac:dyDescent="0.25">
      <c r="A122" s="222" t="str">
        <f t="shared" si="40"/>
        <v>EM.0022</v>
      </c>
      <c r="B122" s="202">
        <f t="shared" si="39"/>
        <v>4</v>
      </c>
      <c r="C122" s="202">
        <f t="shared" si="39"/>
        <v>1500</v>
      </c>
      <c r="D122" s="170" t="s">
        <v>141</v>
      </c>
      <c r="E122" s="170"/>
      <c r="F122" s="173" t="s">
        <v>142</v>
      </c>
      <c r="G122" s="171" t="s">
        <v>16</v>
      </c>
      <c r="H122" s="171"/>
      <c r="I122" s="171"/>
      <c r="J122" s="172"/>
    </row>
    <row r="123" spans="1:10" x14ac:dyDescent="0.25">
      <c r="A123" s="222" t="str">
        <f t="shared" si="40"/>
        <v>EM.0022</v>
      </c>
      <c r="B123" s="202" t="s">
        <v>676</v>
      </c>
      <c r="C123" s="202">
        <f t="shared" si="39"/>
        <v>1500</v>
      </c>
      <c r="D123" s="170">
        <v>45674</v>
      </c>
      <c r="E123" s="170">
        <v>45674</v>
      </c>
      <c r="F123" s="173">
        <v>45709</v>
      </c>
      <c r="G123" s="171" t="s">
        <v>58</v>
      </c>
      <c r="H123" s="171"/>
      <c r="I123" s="171"/>
      <c r="J123" s="172"/>
    </row>
    <row r="124" spans="1:10" x14ac:dyDescent="0.25">
      <c r="A124" s="204" t="s">
        <v>303</v>
      </c>
      <c r="B124" s="202" t="s">
        <v>60</v>
      </c>
      <c r="C124" s="202">
        <v>1500</v>
      </c>
      <c r="D124" s="175" t="s">
        <v>299</v>
      </c>
      <c r="E124" s="181" t="s">
        <v>139</v>
      </c>
      <c r="F124" s="181" t="s">
        <v>108</v>
      </c>
      <c r="G124" s="182" t="s">
        <v>16</v>
      </c>
      <c r="H124" s="182"/>
      <c r="I124" s="182"/>
      <c r="J124" s="174"/>
    </row>
    <row r="125" spans="1:10" x14ac:dyDescent="0.25">
      <c r="A125" s="204" t="s">
        <v>303</v>
      </c>
      <c r="B125" s="202" t="s">
        <v>30</v>
      </c>
      <c r="C125" s="202">
        <v>1500</v>
      </c>
      <c r="D125" s="175">
        <v>45283</v>
      </c>
      <c r="E125" s="175">
        <v>45651</v>
      </c>
      <c r="F125" s="181">
        <v>45314</v>
      </c>
      <c r="G125" s="182" t="s">
        <v>58</v>
      </c>
      <c r="H125" s="182"/>
      <c r="I125" s="182" t="s">
        <v>304</v>
      </c>
      <c r="J125" s="174"/>
    </row>
    <row r="126" spans="1:10" x14ac:dyDescent="0.25">
      <c r="A126" s="204" t="s">
        <v>303</v>
      </c>
      <c r="B126" s="202" t="s">
        <v>30</v>
      </c>
      <c r="C126" s="202">
        <v>1500</v>
      </c>
      <c r="D126" s="175">
        <v>45588</v>
      </c>
      <c r="E126" s="175">
        <v>45588</v>
      </c>
      <c r="F126" s="181">
        <v>45614</v>
      </c>
      <c r="G126" s="182" t="s">
        <v>58</v>
      </c>
      <c r="H126" s="182"/>
      <c r="I126" s="182" t="s">
        <v>659</v>
      </c>
      <c r="J126" s="174"/>
    </row>
    <row r="127" spans="1:10" x14ac:dyDescent="0.25">
      <c r="A127" s="204" t="s">
        <v>303</v>
      </c>
      <c r="B127" s="202" t="s">
        <v>60</v>
      </c>
      <c r="C127" s="202">
        <v>1500</v>
      </c>
      <c r="D127" s="175"/>
      <c r="E127" s="175">
        <v>45674</v>
      </c>
      <c r="F127" s="181">
        <v>45708</v>
      </c>
      <c r="G127" s="182" t="s">
        <v>58</v>
      </c>
      <c r="H127" s="182"/>
      <c r="I127" s="182" t="s">
        <v>671</v>
      </c>
      <c r="J127" s="174"/>
    </row>
    <row r="128" spans="1:10" x14ac:dyDescent="0.25">
      <c r="A128" s="221" t="s">
        <v>375</v>
      </c>
      <c r="B128" s="136">
        <v>3</v>
      </c>
      <c r="C128" s="136">
        <v>1500</v>
      </c>
      <c r="D128" s="180" t="s">
        <v>155</v>
      </c>
      <c r="E128" s="181">
        <v>44911</v>
      </c>
      <c r="F128" s="137" t="s">
        <v>349</v>
      </c>
      <c r="G128" s="171" t="s">
        <v>42</v>
      </c>
      <c r="H128" s="165"/>
      <c r="I128" s="165" t="s">
        <v>643</v>
      </c>
      <c r="J128" s="157"/>
    </row>
    <row r="129" spans="1:10" x14ac:dyDescent="0.25">
      <c r="A129" s="221" t="s">
        <v>375</v>
      </c>
      <c r="B129" s="136">
        <v>3</v>
      </c>
      <c r="C129" s="136">
        <v>1500</v>
      </c>
      <c r="D129" s="180">
        <v>45495</v>
      </c>
      <c r="E129" s="181">
        <v>45495</v>
      </c>
      <c r="F129" s="137">
        <v>45532</v>
      </c>
      <c r="G129" s="182" t="s">
        <v>58</v>
      </c>
      <c r="H129" s="165"/>
      <c r="I129" s="165" t="s">
        <v>643</v>
      </c>
      <c r="J129" s="157"/>
    </row>
    <row r="130" spans="1:10" x14ac:dyDescent="0.25">
      <c r="A130" s="221" t="s">
        <v>375</v>
      </c>
      <c r="B130" s="136">
        <v>3</v>
      </c>
      <c r="C130" s="136">
        <v>1500</v>
      </c>
      <c r="D130" s="180"/>
      <c r="E130" s="181">
        <v>45674</v>
      </c>
      <c r="F130" s="137">
        <v>45708</v>
      </c>
      <c r="G130" s="182" t="s">
        <v>58</v>
      </c>
      <c r="H130" s="165"/>
      <c r="I130" s="199" t="s">
        <v>685</v>
      </c>
      <c r="J130" s="157"/>
    </row>
    <row r="131" spans="1:10" x14ac:dyDescent="0.25">
      <c r="A131" s="221" t="s">
        <v>414</v>
      </c>
      <c r="B131" s="202">
        <v>4</v>
      </c>
      <c r="C131" s="202">
        <v>1500</v>
      </c>
      <c r="D131" s="175" t="s">
        <v>410</v>
      </c>
      <c r="E131" s="175" t="s">
        <v>411</v>
      </c>
      <c r="F131" s="175" t="s">
        <v>412</v>
      </c>
      <c r="G131" s="182" t="s">
        <v>42</v>
      </c>
      <c r="H131" s="182"/>
      <c r="I131" s="182"/>
      <c r="J131" s="182"/>
    </row>
    <row r="132" spans="1:10" x14ac:dyDescent="0.25">
      <c r="A132" s="221" t="s">
        <v>414</v>
      </c>
      <c r="B132" s="202">
        <v>4</v>
      </c>
      <c r="C132" s="202">
        <v>1500</v>
      </c>
      <c r="D132" s="175">
        <v>45674</v>
      </c>
      <c r="E132" s="175">
        <v>45674</v>
      </c>
      <c r="F132" s="175">
        <v>45708</v>
      </c>
      <c r="G132" s="182" t="s">
        <v>58</v>
      </c>
      <c r="H132" s="182"/>
      <c r="I132" s="220" t="s">
        <v>675</v>
      </c>
      <c r="J132" s="182"/>
    </row>
    <row r="133" spans="1:10" x14ac:dyDescent="0.25">
      <c r="A133" s="221" t="s">
        <v>414</v>
      </c>
      <c r="B133" s="202">
        <v>11</v>
      </c>
      <c r="C133" s="202">
        <v>3000</v>
      </c>
      <c r="D133" s="175"/>
      <c r="E133" s="175">
        <v>45708</v>
      </c>
      <c r="F133" s="175"/>
      <c r="G133" s="182" t="s">
        <v>58</v>
      </c>
      <c r="H133" s="182"/>
      <c r="I133" s="231" t="s">
        <v>688</v>
      </c>
      <c r="J133" s="182"/>
    </row>
  </sheetData>
  <autoFilter ref="A4:J111" xr:uid="{59BAF924-8FFC-4552-8C61-AEC6E657EB27}"/>
  <mergeCells count="2">
    <mergeCell ref="A1:J1"/>
    <mergeCell ref="A2:J2"/>
  </mergeCells>
  <printOptions horizontalCentered="1"/>
  <pageMargins left="0" right="0" top="0" bottom="0" header="0.31496062992125984" footer="0.31496062992125984"/>
  <pageSetup paperSize="9" scale="78" orientation="landscape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New History..</vt:lpstr>
      <vt:lpstr>Sheet1</vt:lpstr>
      <vt:lpstr>LIST TO ORDER</vt:lpstr>
      <vt:lpstr>'LIST TO ORDER'!Print_Area</vt:lpstr>
      <vt:lpstr>'New History..'!Print_Area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Rizky</dc:creator>
  <cp:lastModifiedBy>Muhammad Rizky</cp:lastModifiedBy>
  <cp:lastPrinted>2025-03-11T08:31:12Z</cp:lastPrinted>
  <dcterms:created xsi:type="dcterms:W3CDTF">2024-07-11T07:54:00Z</dcterms:created>
  <dcterms:modified xsi:type="dcterms:W3CDTF">2025-10-01T08:46:23Z</dcterms:modified>
</cp:coreProperties>
</file>